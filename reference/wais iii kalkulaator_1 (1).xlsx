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rti\Downloads\"/>
    </mc:Choice>
  </mc:AlternateContent>
  <xr:revisionPtr revIDLastSave="0" documentId="13_ncr:1_{6621C5F0-27C9-4258-84D4-4CC4527EB072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Sheet1" sheetId="6" r:id="rId1"/>
    <sheet name="a1" sheetId="1" r:id="rId2"/>
    <sheet name="a2" sheetId="3" r:id="rId3"/>
    <sheet name="a3" sheetId="4" r:id="rId4"/>
    <sheet name="a4" sheetId="5" r:id="rId5"/>
    <sheet name="a5" sheetId="9" r:id="rId6"/>
    <sheet name="a6" sheetId="10" r:id="rId7"/>
    <sheet name="a7" sheetId="12" r:id="rId8"/>
    <sheet name="a8" sheetId="11" r:id="rId9"/>
    <sheet name="a10" sheetId="17" r:id="rId10"/>
    <sheet name="b1" sheetId="13" r:id="rId11"/>
    <sheet name="b2" sheetId="14" r:id="rId12"/>
    <sheet name="b3" sheetId="8" r:id="rId13"/>
    <sheet name="b6" sheetId="15" r:id="rId14"/>
    <sheet name="b7" sheetId="16" r:id="rId15"/>
    <sheet name="vanusegrupp" sheetId="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6" l="1"/>
  <c r="F58" i="6" s="1"/>
  <c r="E1" i="6"/>
  <c r="E54" i="6" s="1"/>
  <c r="D58" i="6"/>
  <c r="C58" i="6"/>
  <c r="B58" i="6"/>
  <c r="C11" i="6" l="1"/>
  <c r="F56" i="6"/>
  <c r="F57" i="6"/>
  <c r="E50" i="6"/>
  <c r="E53" i="6"/>
  <c r="D16" i="6"/>
  <c r="B45" i="6" s="1"/>
  <c r="E48" i="6"/>
  <c r="E52" i="6"/>
  <c r="E51" i="6"/>
  <c r="E49" i="6"/>
  <c r="D3" i="6"/>
  <c r="B39" i="6" s="1"/>
  <c r="C15" i="6"/>
  <c r="D5" i="6"/>
  <c r="C13" i="6"/>
  <c r="B37" i="6" s="1"/>
  <c r="C4" i="6"/>
  <c r="D7" i="6"/>
  <c r="C6" i="6"/>
  <c r="D9" i="6"/>
  <c r="C8" i="6"/>
  <c r="D12" i="6"/>
  <c r="B43" i="6" s="1"/>
  <c r="C10" i="6"/>
  <c r="D14" i="6"/>
  <c r="B32" i="6" l="1"/>
  <c r="C17" i="6"/>
  <c r="F3" i="6"/>
  <c r="H14" i="6"/>
  <c r="B44" i="6"/>
  <c r="F9" i="6"/>
  <c r="B42" i="6"/>
  <c r="F7" i="6"/>
  <c r="B41" i="6"/>
  <c r="H5" i="6"/>
  <c r="B40" i="6"/>
  <c r="G15" i="6"/>
  <c r="B38" i="6"/>
  <c r="E11" i="6"/>
  <c r="B36" i="6"/>
  <c r="G10" i="6"/>
  <c r="B35" i="6"/>
  <c r="G8" i="6"/>
  <c r="B34" i="6"/>
  <c r="E6" i="6"/>
  <c r="B33" i="6"/>
  <c r="B28" i="6"/>
  <c r="B29" i="6" s="1"/>
  <c r="C28" i="6"/>
  <c r="C29" i="6" s="1"/>
  <c r="D17" i="6"/>
  <c r="E4" i="6"/>
  <c r="F17" i="6" l="1"/>
  <c r="F21" i="6" s="1"/>
  <c r="H17" i="6"/>
  <c r="H21" i="6" s="1"/>
  <c r="H25" i="6" s="1"/>
  <c r="G17" i="6"/>
  <c r="G21" i="6" s="1"/>
  <c r="E17" i="6"/>
  <c r="E21" i="6" s="1"/>
  <c r="D28" i="6"/>
  <c r="D29" i="6" s="1"/>
  <c r="C18" i="6"/>
  <c r="D21" i="6" s="1"/>
  <c r="B21" i="6"/>
  <c r="C21" i="6"/>
  <c r="H23" i="6" l="1"/>
  <c r="H24" i="6"/>
  <c r="H22" i="6"/>
  <c r="C54" i="6" s="1"/>
  <c r="G24" i="6"/>
  <c r="G25" i="6"/>
  <c r="G22" i="6"/>
  <c r="C53" i="6" s="1"/>
  <c r="G23" i="6"/>
  <c r="F24" i="6"/>
  <c r="F25" i="6"/>
  <c r="F22" i="6"/>
  <c r="C49" i="6" s="1"/>
  <c r="F23" i="6"/>
  <c r="E24" i="6"/>
  <c r="E25" i="6"/>
  <c r="E22" i="6"/>
  <c r="B52" i="6" s="1"/>
  <c r="E23" i="6"/>
  <c r="D24" i="6"/>
  <c r="D25" i="6"/>
  <c r="D22" i="6"/>
  <c r="D23" i="6"/>
  <c r="C24" i="6"/>
  <c r="C25" i="6"/>
  <c r="C22" i="6"/>
  <c r="C48" i="6" s="1"/>
  <c r="C23" i="6"/>
  <c r="B24" i="6"/>
  <c r="B25" i="6"/>
  <c r="B22" i="6"/>
  <c r="B48" i="6" s="1"/>
  <c r="B23" i="6"/>
  <c r="D48" i="6" l="1"/>
  <c r="G48" i="6" s="1"/>
  <c r="C51" i="6"/>
  <c r="C52" i="6"/>
  <c r="D52" i="6" s="1"/>
  <c r="G52" i="6" s="1"/>
  <c r="B54" i="6"/>
  <c r="D54" i="6" s="1"/>
  <c r="G54" i="6" s="1"/>
  <c r="C50" i="6"/>
  <c r="B51" i="6"/>
  <c r="B53" i="6"/>
  <c r="D53" i="6" s="1"/>
  <c r="G53" i="6" s="1"/>
  <c r="B49" i="6"/>
  <c r="D49" i="6" s="1"/>
  <c r="G49" i="6" s="1"/>
  <c r="B50" i="6"/>
  <c r="J32" i="6"/>
  <c r="F53" i="6" l="1"/>
  <c r="F54" i="6"/>
  <c r="F52" i="6"/>
  <c r="F49" i="6"/>
  <c r="F48" i="6"/>
  <c r="D51" i="6"/>
  <c r="G51" i="6" s="1"/>
  <c r="D50" i="6"/>
  <c r="G50" i="6" s="1"/>
  <c r="I33" i="6"/>
  <c r="F50" i="6" l="1"/>
  <c r="F51" i="6"/>
  <c r="E32" i="6"/>
  <c r="C35" i="6"/>
  <c r="D35" i="6" s="1"/>
  <c r="C33" i="6"/>
  <c r="D33" i="6" s="1"/>
  <c r="E39" i="6"/>
  <c r="E42" i="6"/>
  <c r="C42" i="6"/>
  <c r="D42" i="6" s="1"/>
  <c r="E36" i="6"/>
  <c r="C39" i="6"/>
  <c r="D39" i="6" s="1"/>
  <c r="C34" i="6"/>
  <c r="D34" i="6" s="1"/>
  <c r="C44" i="6"/>
  <c r="D44" i="6" s="1"/>
  <c r="E35" i="6"/>
  <c r="C36" i="6"/>
  <c r="D36" i="6" s="1"/>
  <c r="C38" i="6"/>
  <c r="D38" i="6" s="1"/>
  <c r="E34" i="6"/>
  <c r="C32" i="6"/>
  <c r="D32" i="6" s="1"/>
  <c r="C43" i="6"/>
  <c r="D43" i="6" s="1"/>
  <c r="C40" i="6"/>
  <c r="D40" i="6" s="1"/>
  <c r="E33" i="6"/>
  <c r="E38" i="6"/>
  <c r="E44" i="6"/>
  <c r="E45" i="6"/>
  <c r="C45" i="6"/>
  <c r="D45" i="6" s="1"/>
  <c r="E37" i="6"/>
  <c r="E40" i="6"/>
  <c r="E43" i="6"/>
  <c r="C37" i="6"/>
  <c r="D37" i="6" s="1"/>
  <c r="C41" i="6"/>
  <c r="D41" i="6" s="1"/>
  <c r="E41" i="6"/>
  <c r="F32" i="6" l="1"/>
  <c r="G39" i="6"/>
  <c r="G33" i="6"/>
  <c r="F33" i="6"/>
  <c r="G35" i="6"/>
  <c r="F40" i="6"/>
  <c r="F41" i="6"/>
  <c r="F38" i="6"/>
  <c r="F37" i="6"/>
  <c r="G43" i="6"/>
  <c r="G44" i="6"/>
  <c r="F34" i="6"/>
  <c r="F45" i="6"/>
  <c r="F42" i="6"/>
  <c r="G38" i="6"/>
  <c r="G34" i="6"/>
  <c r="F36" i="6"/>
  <c r="G36" i="6"/>
  <c r="G40" i="6"/>
  <c r="G37" i="6"/>
  <c r="G42" i="6"/>
  <c r="G41" i="6"/>
  <c r="F43" i="6"/>
  <c r="F39" i="6"/>
  <c r="F35" i="6"/>
  <c r="F44" i="6"/>
  <c r="G45" i="6"/>
  <c r="G32" i="6"/>
</calcChain>
</file>

<file path=xl/sharedStrings.xml><?xml version="1.0" encoding="utf-8"?>
<sst xmlns="http://schemas.openxmlformats.org/spreadsheetml/2006/main" count="373" uniqueCount="108">
  <si>
    <t>Sõnavara</t>
  </si>
  <si>
    <t>Sarnasused</t>
  </si>
  <si>
    <t>Aritmeetika</t>
  </si>
  <si>
    <t>Kuubikud</t>
  </si>
  <si>
    <t>Maatriksid</t>
  </si>
  <si>
    <t>st skoor</t>
  </si>
  <si>
    <t>min</t>
  </si>
  <si>
    <t>max</t>
  </si>
  <si>
    <t>Arvumälu</t>
  </si>
  <si>
    <t>Informeeritus</t>
  </si>
  <si>
    <t>Taibukus</t>
  </si>
  <si>
    <t>Šifreering</t>
  </si>
  <si>
    <t>Pildiseeriad</t>
  </si>
  <si>
    <t>S otsimine</t>
  </si>
  <si>
    <t>K moodust</t>
  </si>
  <si>
    <t>P täiend</t>
  </si>
  <si>
    <t>T-N järjest</t>
  </si>
  <si>
    <t xml:space="preserve"> </t>
  </si>
  <si>
    <t>st skooride summa</t>
  </si>
  <si>
    <t>sõnaline</t>
  </si>
  <si>
    <t>VIQ</t>
  </si>
  <si>
    <t>protsentiil</t>
  </si>
  <si>
    <t>soorituslik</t>
  </si>
  <si>
    <t>PIQ</t>
  </si>
  <si>
    <t>koguskaala</t>
  </si>
  <si>
    <t>FSIQ</t>
  </si>
  <si>
    <t>piltide täiendamine</t>
  </si>
  <si>
    <t>sõnavara</t>
  </si>
  <si>
    <t>šifreering</t>
  </si>
  <si>
    <t>sarnasused</t>
  </si>
  <si>
    <t>kuubikud</t>
  </si>
  <si>
    <t>aritmeetika</t>
  </si>
  <si>
    <t>maatriksid</t>
  </si>
  <si>
    <t>arvumälu</t>
  </si>
  <si>
    <t>informeeritus</t>
  </si>
  <si>
    <t>pildiseeriad</t>
  </si>
  <si>
    <t>taibukus</t>
  </si>
  <si>
    <t>sümbolite otsimine</t>
  </si>
  <si>
    <t>täht-number järjestus</t>
  </si>
  <si>
    <t>kujundite moodustamine</t>
  </si>
  <si>
    <t>toorskoor</t>
  </si>
  <si>
    <t>SÕNALINE</t>
  </si>
  <si>
    <t>SOORITUSLIK</t>
  </si>
  <si>
    <t>vanus:</t>
  </si>
  <si>
    <t>vanusegrupp</t>
  </si>
  <si>
    <t>standardiseeritud skooride summa</t>
  </si>
  <si>
    <t>IQ indeksskoorid</t>
  </si>
  <si>
    <t>protsentiilid</t>
  </si>
  <si>
    <t>VCI</t>
  </si>
  <si>
    <t>POI</t>
  </si>
  <si>
    <t>WMI</t>
  </si>
  <si>
    <t>PSI</t>
  </si>
  <si>
    <t>usaldusvahemik 95%</t>
  </si>
  <si>
    <t>täht-number j</t>
  </si>
  <si>
    <t>piltide täiend</t>
  </si>
  <si>
    <t>sümbolite ots</t>
  </si>
  <si>
    <t>kujundite mood</t>
  </si>
  <si>
    <t>7+7</t>
  </si>
  <si>
    <t>üld</t>
  </si>
  <si>
    <t>summa</t>
  </si>
  <si>
    <t>keskmine</t>
  </si>
  <si>
    <t>VIQPIQ vahe:</t>
  </si>
  <si>
    <t>erinevus</t>
  </si>
  <si>
    <t>tugev külg</t>
  </si>
  <si>
    <t>nõrk külg</t>
  </si>
  <si>
    <t>sõnaline taibukus</t>
  </si>
  <si>
    <t>tajupõhine töötlus</t>
  </si>
  <si>
    <t>&lt;0,1</t>
  </si>
  <si>
    <t>&gt;99,9</t>
  </si>
  <si>
    <t>töömälu</t>
  </si>
  <si>
    <t>töötluskiirus</t>
  </si>
  <si>
    <t>piir</t>
  </si>
  <si>
    <t>sõnaline IQ - soorituslik IQ</t>
  </si>
  <si>
    <t>sõnaline taibukus - tajupõhine töötlus</t>
  </si>
  <si>
    <t>sõnaline taibukus - töömälu</t>
  </si>
  <si>
    <t>tajupõhine töötlus - töötluskiirus</t>
  </si>
  <si>
    <t>sõnaline taibukus - töötluskiirus</t>
  </si>
  <si>
    <t>tajupõhine töötlus - töömälu</t>
  </si>
  <si>
    <t>töömälu - töötluskiirus</t>
  </si>
  <si>
    <t>skoor 1</t>
  </si>
  <si>
    <t>skoor 2</t>
  </si>
  <si>
    <t>VIQ-PIQ</t>
  </si>
  <si>
    <t>VCI-POI</t>
  </si>
  <si>
    <t>VCI-WMI</t>
  </si>
  <si>
    <t>POI-PSI</t>
  </si>
  <si>
    <t>VCI-PSI</t>
  </si>
  <si>
    <t>POI-WMI</t>
  </si>
  <si>
    <t>WMI-PSI</t>
  </si>
  <si>
    <t>%</t>
  </si>
  <si>
    <t>%/2</t>
  </si>
  <si>
    <t>pikim edaspidi seeria</t>
  </si>
  <si>
    <t>pikim tagurpidi seeria</t>
  </si>
  <si>
    <t>edaspidi - tagurpidi</t>
  </si>
  <si>
    <t>edaspidi</t>
  </si>
  <si>
    <t>tagurpidi</t>
  </si>
  <si>
    <t>juhuslik õppimine - paaride moodustamine</t>
  </si>
  <si>
    <t>juhuslik õppimine - vaba meenutamine</t>
  </si>
  <si>
    <t>kopeerimine</t>
  </si>
  <si>
    <t>juhuslik õppimine</t>
  </si>
  <si>
    <t>paaride moodustamine</t>
  </si>
  <si>
    <t>vaba meenutamine</t>
  </si>
  <si>
    <t>&lt;1</t>
  </si>
  <si>
    <t>1-2</t>
  </si>
  <si>
    <t>2-5</t>
  </si>
  <si>
    <t>5-10</t>
  </si>
  <si>
    <t>10-25</t>
  </si>
  <si>
    <t>25-50</t>
  </si>
  <si>
    <t>&gt;50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</si>
</sst>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4" xfId="0" applyBorder="1"/>
    <xf numFmtId="0" fontId="0" fillId="2" borderId="0" xfId="0" applyFill="1"/>
    <xf numFmtId="0" fontId="0" fillId="3" borderId="1" xfId="0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20" fontId="0" fillId="0" borderId="0" xfId="0" applyNumberFormat="1"/>
    <xf numFmtId="0" fontId="3" fillId="0" borderId="3" xfId="0" applyFont="1" applyBorder="1"/>
    <xf numFmtId="0" fontId="3" fillId="0" borderId="2" xfId="0" applyFont="1" applyBorder="1" applyAlignment="1">
      <alignment vertical="top"/>
    </xf>
    <xf numFmtId="0" fontId="3" fillId="0" borderId="0" xfId="0" applyFont="1"/>
    <xf numFmtId="0" fontId="3" fillId="0" borderId="5" xfId="0" applyFont="1" applyBorder="1" applyAlignment="1">
      <alignment vertical="top"/>
    </xf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0" fontId="4" fillId="0" borderId="0" xfId="0" quotePrefix="1" applyFont="1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  <xf numFmtId="0" fontId="7" fillId="0" borderId="0" xfId="0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wrapText="1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31E1-B96E-4DE0-8AE9-3AC779C2D30F}">
  <dimension ref="A1:M58"/>
  <sheetViews>
    <sheetView tabSelected="1" zoomScale="80" zoomScaleNormal="80" workbookViewId="0">
      <selection activeCell="L24" sqref="L24"/>
    </sheetView>
  </sheetViews>
  <sheetFormatPr defaultColWidth="8.7109375" defaultRowHeight="15" x14ac:dyDescent="0.25"/>
  <cols>
    <col min="1" max="1" width="21.140625" customWidth="1"/>
  </cols>
  <sheetData>
    <row r="1" spans="1:13" x14ac:dyDescent="0.25">
      <c r="A1" t="s">
        <v>43</v>
      </c>
      <c r="B1" s="4">
        <v>50</v>
      </c>
      <c r="D1" s="5" t="s">
        <v>44</v>
      </c>
      <c r="E1" s="23">
        <f>INDEX(vanusegrupp!B1:B74, MATCH(B1,vanusegrupp!A1:A74, 0))</f>
        <v>7</v>
      </c>
      <c r="F1" s="24">
        <f>INDEX(vanusegrupp!C1:C74, MATCH(B1,vanusegrupp!A1:A74, 0))</f>
        <v>4</v>
      </c>
    </row>
    <row r="2" spans="1:13" x14ac:dyDescent="0.25">
      <c r="B2" t="s">
        <v>40</v>
      </c>
      <c r="C2" t="s">
        <v>41</v>
      </c>
      <c r="D2" t="s">
        <v>42</v>
      </c>
      <c r="E2" t="s">
        <v>48</v>
      </c>
      <c r="F2" t="s">
        <v>49</v>
      </c>
      <c r="G2" t="s">
        <v>50</v>
      </c>
      <c r="H2" t="s">
        <v>51</v>
      </c>
    </row>
    <row r="3" spans="1:13" x14ac:dyDescent="0.25">
      <c r="A3" t="s">
        <v>26</v>
      </c>
      <c r="B3" s="4">
        <v>22</v>
      </c>
      <c r="C3" s="3"/>
      <c r="D3">
        <f ca="1">MATCH(B3, OFFSET('a1'!I$2, (E$1-1) * 20, 0, 20), 1)</f>
        <v>13</v>
      </c>
      <c r="E3" s="3"/>
      <c r="F3">
        <f ca="1">D3</f>
        <v>13</v>
      </c>
      <c r="G3" s="3"/>
      <c r="H3" s="3"/>
    </row>
    <row r="4" spans="1:13" x14ac:dyDescent="0.25">
      <c r="A4" t="s">
        <v>27</v>
      </c>
      <c r="B4" s="4">
        <v>56</v>
      </c>
      <c r="C4">
        <f ca="1">MATCH(B4, OFFSET('a1'!B$2, (E$1-1) * 20, 0, 20), 1)</f>
        <v>14</v>
      </c>
      <c r="D4" s="3"/>
      <c r="E4">
        <f ca="1">C4</f>
        <v>14</v>
      </c>
      <c r="F4" s="3"/>
      <c r="G4" s="3"/>
      <c r="H4" s="3"/>
      <c r="L4" t="s">
        <v>40</v>
      </c>
      <c r="M4" t="s">
        <v>88</v>
      </c>
    </row>
    <row r="5" spans="1:13" x14ac:dyDescent="0.25">
      <c r="A5" t="s">
        <v>28</v>
      </c>
      <c r="B5" s="4">
        <v>50</v>
      </c>
      <c r="C5" s="3"/>
      <c r="D5">
        <f ca="1">MATCH(B5, OFFSET('a1'!J$2, (E$1-1) * 20, 0, 20), 1)</f>
        <v>7</v>
      </c>
      <c r="E5" s="3"/>
      <c r="F5" s="3"/>
      <c r="G5" s="3"/>
      <c r="H5">
        <f ca="1">D5</f>
        <v>7</v>
      </c>
      <c r="J5" s="29" t="s">
        <v>98</v>
      </c>
      <c r="K5" s="22" t="s">
        <v>99</v>
      </c>
      <c r="L5" s="4">
        <v>8</v>
      </c>
    </row>
    <row r="6" spans="1:13" x14ac:dyDescent="0.25">
      <c r="A6" t="s">
        <v>29</v>
      </c>
      <c r="B6" s="4">
        <v>28</v>
      </c>
      <c r="C6">
        <f ca="1">MATCH(B6, OFFSET('a1'!C$2, (E$1-1) * 20, 0, 20), 1)</f>
        <v>12</v>
      </c>
      <c r="D6" s="3"/>
      <c r="E6">
        <f ca="1">C6</f>
        <v>12</v>
      </c>
      <c r="F6" s="3"/>
      <c r="G6" s="3"/>
      <c r="H6" s="3"/>
      <c r="J6" s="29"/>
      <c r="K6" s="22" t="s">
        <v>100</v>
      </c>
      <c r="L6" s="4">
        <v>8</v>
      </c>
    </row>
    <row r="7" spans="1:13" x14ac:dyDescent="0.25">
      <c r="A7" t="s">
        <v>30</v>
      </c>
      <c r="B7" s="4">
        <v>46</v>
      </c>
      <c r="C7" s="3"/>
      <c r="D7">
        <f ca="1">MATCH(B7, OFFSET('a1'!K$2, (E$1-1) * 20, 0, 20), 1)</f>
        <v>11</v>
      </c>
      <c r="E7" s="3"/>
      <c r="F7">
        <f ca="1">D7</f>
        <v>11</v>
      </c>
      <c r="G7" s="3"/>
      <c r="H7" s="3"/>
      <c r="J7" s="22"/>
      <c r="K7" s="22" t="s">
        <v>97</v>
      </c>
      <c r="L7" s="4">
        <v>109</v>
      </c>
    </row>
    <row r="8" spans="1:13" x14ac:dyDescent="0.25">
      <c r="A8" t="s">
        <v>31</v>
      </c>
      <c r="B8" s="4">
        <v>12</v>
      </c>
      <c r="C8">
        <f ca="1">MATCH(B8, OFFSET('a1'!D$2, (E$1-1) * 20, 0, 20), 1)</f>
        <v>8</v>
      </c>
      <c r="D8" s="3"/>
      <c r="E8" s="3"/>
      <c r="F8" s="3"/>
      <c r="G8">
        <f ca="1">C8</f>
        <v>8</v>
      </c>
      <c r="H8" s="3"/>
    </row>
    <row r="9" spans="1:13" x14ac:dyDescent="0.25">
      <c r="A9" t="s">
        <v>32</v>
      </c>
      <c r="B9" s="4">
        <v>24</v>
      </c>
      <c r="C9" s="3"/>
      <c r="D9">
        <f ca="1">MATCH(B9, OFFSET('a1'!L$2, (E$1-1) * 20, 0, 20), 1)</f>
        <v>15</v>
      </c>
      <c r="E9" s="3"/>
      <c r="F9">
        <f ca="1">D9</f>
        <v>15</v>
      </c>
      <c r="G9" s="3"/>
      <c r="H9" s="3"/>
    </row>
    <row r="10" spans="1:13" x14ac:dyDescent="0.25">
      <c r="A10" t="s">
        <v>33</v>
      </c>
      <c r="B10" s="4">
        <v>12</v>
      </c>
      <c r="C10">
        <f ca="1">MATCH(B10, OFFSET('a1'!E$2, (E$1-1) * 20, 0, 20), 1)</f>
        <v>7</v>
      </c>
      <c r="D10" s="3"/>
      <c r="E10" s="3"/>
      <c r="F10" s="3"/>
      <c r="G10">
        <f ca="1">C10</f>
        <v>7</v>
      </c>
      <c r="H10" s="3"/>
    </row>
    <row r="11" spans="1:13" x14ac:dyDescent="0.25">
      <c r="A11" t="s">
        <v>34</v>
      </c>
      <c r="B11" s="4">
        <v>20</v>
      </c>
      <c r="C11">
        <f ca="1">MATCH(B11, OFFSET('a1'!F$2, (E$1-1) * 20, 0, 20), 1)</f>
        <v>11</v>
      </c>
      <c r="D11" s="3"/>
      <c r="E11">
        <f ca="1">C11</f>
        <v>11</v>
      </c>
      <c r="F11" s="3"/>
      <c r="G11" s="3"/>
      <c r="H11" s="3"/>
    </row>
    <row r="12" spans="1:13" x14ac:dyDescent="0.25">
      <c r="A12" t="s">
        <v>35</v>
      </c>
      <c r="B12" s="4">
        <v>15</v>
      </c>
      <c r="C12" s="3"/>
      <c r="D12">
        <f ca="1">MATCH(B12, OFFSET('a1'!M$2, (E$1-1) * 20, 0, 20), 1)</f>
        <v>12</v>
      </c>
      <c r="E12" s="3"/>
      <c r="F12" s="3"/>
      <c r="G12" s="3"/>
      <c r="H12" s="3"/>
    </row>
    <row r="13" spans="1:13" x14ac:dyDescent="0.25">
      <c r="A13" t="s">
        <v>36</v>
      </c>
      <c r="B13" s="4">
        <v>25</v>
      </c>
      <c r="C13">
        <f ca="1">MATCH(B13, OFFSET('a1'!G$2, (E$1-1) * 20, 0, 20), 1)</f>
        <v>11</v>
      </c>
      <c r="D13" s="3"/>
      <c r="E13" s="3"/>
      <c r="F13" s="3"/>
      <c r="G13" s="3"/>
      <c r="H13" s="3"/>
    </row>
    <row r="14" spans="1:13" x14ac:dyDescent="0.25">
      <c r="A14" t="s">
        <v>37</v>
      </c>
      <c r="B14" s="4">
        <v>15</v>
      </c>
      <c r="C14" s="3"/>
      <c r="D14">
        <f ca="1">MATCH(B14, OFFSET('a1'!N$2, (E$1-1) * 20, 0, 20), 1)</f>
        <v>5</v>
      </c>
      <c r="E14" s="3"/>
      <c r="F14" s="3"/>
      <c r="G14" s="3"/>
      <c r="H14">
        <f ca="1">D14</f>
        <v>5</v>
      </c>
    </row>
    <row r="15" spans="1:13" x14ac:dyDescent="0.25">
      <c r="A15" t="s">
        <v>38</v>
      </c>
      <c r="B15" s="4">
        <v>5</v>
      </c>
      <c r="C15">
        <f ca="1">MATCH(B15, OFFSET('a1'!H$2, (E$1-1) * 20, 0, 20), 1)</f>
        <v>5</v>
      </c>
      <c r="D15" s="3"/>
      <c r="E15" s="3"/>
      <c r="F15" s="3"/>
      <c r="G15">
        <f ca="1">C15</f>
        <v>5</v>
      </c>
      <c r="H15" s="3"/>
    </row>
    <row r="16" spans="1:13" x14ac:dyDescent="0.25">
      <c r="A16" t="s">
        <v>39</v>
      </c>
      <c r="B16" s="4">
        <v>30</v>
      </c>
      <c r="C16" s="3"/>
      <c r="D16">
        <f ca="1">MATCH(B16, OFFSET('a1'!O$2, (E$1-1) * 20, 0, 20), 1)</f>
        <v>10</v>
      </c>
      <c r="E16" s="3"/>
      <c r="F16" s="3"/>
      <c r="G16" s="3"/>
      <c r="H16" s="3"/>
    </row>
    <row r="17" spans="1:10" x14ac:dyDescent="0.25">
      <c r="C17">
        <f ca="1">C4+C6+C8+C10+C11+C13</f>
        <v>63</v>
      </c>
      <c r="D17">
        <f ca="1">D3+D5+D7+D9+D12</f>
        <v>58</v>
      </c>
      <c r="E17">
        <f ca="1">E4+E6+E11</f>
        <v>37</v>
      </c>
      <c r="F17">
        <f ca="1">F3+F7+F9</f>
        <v>39</v>
      </c>
      <c r="G17">
        <f ca="1">G8+G10+G15</f>
        <v>20</v>
      </c>
      <c r="H17">
        <f ca="1">H5+H14</f>
        <v>12</v>
      </c>
    </row>
    <row r="18" spans="1:10" x14ac:dyDescent="0.25">
      <c r="C18" s="27">
        <f ca="1">C17+D17</f>
        <v>121</v>
      </c>
      <c r="D18" s="27"/>
    </row>
    <row r="19" spans="1:10" x14ac:dyDescent="0.25">
      <c r="C19" s="13"/>
      <c r="D19" s="13"/>
    </row>
    <row r="20" spans="1:10" x14ac:dyDescent="0.25">
      <c r="B20" t="s">
        <v>20</v>
      </c>
      <c r="C20" t="s">
        <v>23</v>
      </c>
      <c r="D20" t="s">
        <v>25</v>
      </c>
      <c r="E20" t="s">
        <v>48</v>
      </c>
      <c r="F20" t="s">
        <v>49</v>
      </c>
      <c r="G20" t="s">
        <v>50</v>
      </c>
      <c r="H20" t="s">
        <v>51</v>
      </c>
    </row>
    <row r="21" spans="1:10" x14ac:dyDescent="0.25">
      <c r="A21" t="s">
        <v>45</v>
      </c>
      <c r="B21" s="18">
        <f ca="1">C17</f>
        <v>63</v>
      </c>
      <c r="C21" s="18">
        <f ca="1">D17</f>
        <v>58</v>
      </c>
      <c r="D21" s="18">
        <f ca="1">C18</f>
        <v>121</v>
      </c>
      <c r="E21" s="18">
        <f ca="1">E17</f>
        <v>37</v>
      </c>
      <c r="F21" s="18">
        <f t="shared" ref="F21:H21" ca="1" si="0">F17</f>
        <v>39</v>
      </c>
      <c r="G21" s="18">
        <f t="shared" ca="1" si="0"/>
        <v>20</v>
      </c>
      <c r="H21" s="18">
        <f t="shared" ca="1" si="0"/>
        <v>12</v>
      </c>
    </row>
    <row r="22" spans="1:10" x14ac:dyDescent="0.25">
      <c r="A22" t="s">
        <v>46</v>
      </c>
      <c r="B22" s="18">
        <f ca="1">INDEX('a2'!B3:B111, MATCH(B21, 'a2'!A3:A111, 0))</f>
        <v>103</v>
      </c>
      <c r="C22" s="18">
        <f ca="1">INDEX('a3'!B3:B93, MATCH(C21, 'a3'!A3:A93, 0))</f>
        <v>110</v>
      </c>
      <c r="D22" s="19">
        <f ca="1">INDEX('a4'!B3:B201, MATCH(D21, 'a4'!A3:A201, 0))</f>
        <v>107</v>
      </c>
      <c r="E22" s="20">
        <f ca="1">INDEX('a5'!B3:B57, MATCH(E21, 'a5'!A3:A57, 0))</f>
        <v>114</v>
      </c>
      <c r="F22" s="18">
        <f ca="1">INDEX('a6'!B3:B57, MATCH(F21, 'a6'!A3:A57, 0))</f>
        <v>118</v>
      </c>
      <c r="G22" s="18">
        <f ca="1">INDEX('a7'!B3:B57, MATCH(G21, 'a7'!A3:A57, 0))</f>
        <v>78</v>
      </c>
      <c r="H22" s="18">
        <f ca="1">INDEX('a8'!B3:B39, MATCH(H21, 'a8'!A3:A39, 0))</f>
        <v>77</v>
      </c>
    </row>
    <row r="23" spans="1:10" x14ac:dyDescent="0.25">
      <c r="A23" t="s">
        <v>47</v>
      </c>
      <c r="B23" s="18">
        <f ca="1">INDEX('a2'!C3:C111, MATCH(B21, 'a2'!A3:A111, 0))</f>
        <v>58</v>
      </c>
      <c r="C23" s="18">
        <f ca="1">INDEX('a3'!C3:C93, MATCH(C21, 'a3'!A3:A93, 0))</f>
        <v>75</v>
      </c>
      <c r="D23" s="18">
        <f ca="1">INDEX('a4'!C3:C201, MATCH(D21, 'a4'!A3:A201, 0))</f>
        <v>68</v>
      </c>
      <c r="E23" s="18">
        <f ca="1">INDEX('a5'!C3:C57, MATCH(E21, 'a5'!A3:A57, 0))</f>
        <v>82</v>
      </c>
      <c r="F23" s="18">
        <f ca="1">INDEX('a6'!C3:C57, MATCH(F21, 'a6'!A3:A57, 0))</f>
        <v>88</v>
      </c>
      <c r="G23" s="18">
        <f ca="1">INDEX('a7'!C3:C57, MATCH(G21, 'a7'!A3:A57, 0))</f>
        <v>7</v>
      </c>
      <c r="H23" s="18">
        <f ca="1">INDEX('a8'!C3:C39, MATCH(H21, 'a8'!A3:A39, 0))</f>
        <v>6</v>
      </c>
    </row>
    <row r="24" spans="1:10" x14ac:dyDescent="0.25">
      <c r="A24" s="28" t="s">
        <v>52</v>
      </c>
      <c r="B24" s="18">
        <f ca="1">INDEX('a2'!F3:F111, MATCH(B21, 'a2'!A3:A111, 0))</f>
        <v>97</v>
      </c>
      <c r="C24" s="18">
        <f ca="1">INDEX('a3'!F3:F93, MATCH(C21, 'a3'!A3:A93, 0))</f>
        <v>102</v>
      </c>
      <c r="D24" s="18">
        <f ca="1">INDEX('a4'!F3:F201, MATCH(D21, 'a4'!A3:A201, 0))</f>
        <v>102</v>
      </c>
      <c r="E24" s="18">
        <f ca="1">INDEX('a5'!F3:F57, MATCH(E21, 'a5'!A3:A57, 0))</f>
        <v>106</v>
      </c>
      <c r="F24" s="18">
        <f ca="1">INDEX('a6'!F3:F57, MATCH(F21, 'a6'!A3:A57, 0))</f>
        <v>108</v>
      </c>
      <c r="G24" s="18">
        <f ca="1">INDEX('a7'!F3:F57, MATCH(G21, 'a7'!A3:A57, 0))</f>
        <v>72</v>
      </c>
      <c r="H24" s="18">
        <f ca="1">INDEX('a8'!F3:F39, MATCH(H21, 'a8'!A3:A39, 0))</f>
        <v>71</v>
      </c>
    </row>
    <row r="25" spans="1:10" x14ac:dyDescent="0.25">
      <c r="A25" s="28"/>
      <c r="B25" s="18">
        <f ca="1">INDEX('a2'!G3:G111, MATCH(B21, 'a2'!A3:A111, 0))</f>
        <v>108</v>
      </c>
      <c r="C25" s="18">
        <f ca="1">INDEX('a3'!G3:G93, MATCH(C21, 'a3'!A3:A93, 0))</f>
        <v>117</v>
      </c>
      <c r="D25" s="18">
        <f ca="1">INDEX('a4'!G3:G201, MATCH(D21, 'a4'!A3:A201, 0))</f>
        <v>112</v>
      </c>
      <c r="E25" s="18">
        <f ca="1">INDEX('a5'!G3:G57, MATCH(E21, 'a5'!A3:A57, 0))</f>
        <v>120</v>
      </c>
      <c r="F25" s="18">
        <f ca="1">INDEX('a6'!G3:G57, MATCH(F21, 'a6'!A3:A57, 0))</f>
        <v>125</v>
      </c>
      <c r="G25" s="18">
        <f ca="1">INDEX('a7'!G3:G57, MATCH(G21, 'a7'!A3:A57, 0))</f>
        <v>89</v>
      </c>
      <c r="H25" s="18">
        <f ca="1">INDEX('a8'!G3:G39, MATCH(H21, 'a8'!A3:A39, 0))</f>
        <v>87</v>
      </c>
    </row>
    <row r="27" spans="1:10" x14ac:dyDescent="0.25">
      <c r="B27" t="s">
        <v>19</v>
      </c>
      <c r="C27" t="s">
        <v>22</v>
      </c>
      <c r="D27" t="s">
        <v>58</v>
      </c>
    </row>
    <row r="28" spans="1:10" x14ac:dyDescent="0.25">
      <c r="A28" t="s">
        <v>59</v>
      </c>
      <c r="B28">
        <f ca="1">SUM(C3:C16)</f>
        <v>68</v>
      </c>
      <c r="C28">
        <f ca="1">SUM(D3:D16)</f>
        <v>73</v>
      </c>
      <c r="D28">
        <f ca="1">B28+C28</f>
        <v>141</v>
      </c>
    </row>
    <row r="29" spans="1:10" x14ac:dyDescent="0.25">
      <c r="A29" t="s">
        <v>60</v>
      </c>
      <c r="B29" s="14">
        <f ca="1">B28/7</f>
        <v>9.7142857142857135</v>
      </c>
      <c r="C29" s="14">
        <f ca="1">C28/7</f>
        <v>10.428571428571429</v>
      </c>
      <c r="D29" s="14">
        <f ca="1">D28/14</f>
        <v>10.071428571428571</v>
      </c>
    </row>
    <row r="30" spans="1:10" x14ac:dyDescent="0.25">
      <c r="B30" s="14"/>
      <c r="C30" s="14"/>
      <c r="D30" s="14"/>
    </row>
    <row r="31" spans="1:10" x14ac:dyDescent="0.25">
      <c r="B31" t="s">
        <v>5</v>
      </c>
      <c r="C31" t="s">
        <v>60</v>
      </c>
      <c r="D31" t="s">
        <v>62</v>
      </c>
      <c r="E31" t="s">
        <v>71</v>
      </c>
      <c r="F31" t="s">
        <v>63</v>
      </c>
      <c r="G31" t="s">
        <v>64</v>
      </c>
    </row>
    <row r="32" spans="1:10" x14ac:dyDescent="0.25">
      <c r="A32" t="s">
        <v>27</v>
      </c>
      <c r="B32">
        <f ca="1">C4</f>
        <v>14</v>
      </c>
      <c r="C32" s="14">
        <f t="shared" ref="C32:C38" ca="1" si="1">IF(I$33="erinevus üldkeskmisest",D$29,B$29)</f>
        <v>10.071428571428571</v>
      </c>
      <c r="D32" s="14">
        <f ca="1">B32-C32</f>
        <v>3.9285714285714288</v>
      </c>
      <c r="E32" s="14">
        <f ca="1">IF(I$33="erinevus üldkeskmisest",'b3'!C2,'b3'!B2)</f>
        <v>4.09</v>
      </c>
      <c r="F32" s="12" t="str">
        <f ca="1">IF(D32&gt;E32,"T","")</f>
        <v/>
      </c>
      <c r="G32" s="12" t="str">
        <f ca="1">IF(D32*-1&gt;E32, "N", "")</f>
        <v/>
      </c>
      <c r="I32" s="17" t="s">
        <v>61</v>
      </c>
      <c r="J32" s="6">
        <f ca="1">ABS(B22-C22)</f>
        <v>7</v>
      </c>
    </row>
    <row r="33" spans="1:9" x14ac:dyDescent="0.25">
      <c r="A33" t="s">
        <v>29</v>
      </c>
      <c r="B33">
        <f ca="1">C6</f>
        <v>12</v>
      </c>
      <c r="C33" s="14">
        <f t="shared" ca="1" si="1"/>
        <v>10.071428571428571</v>
      </c>
      <c r="D33" s="14">
        <f t="shared" ref="D33:D45" ca="1" si="2">B33-C33</f>
        <v>1.9285714285714288</v>
      </c>
      <c r="E33" s="14">
        <f ca="1">IF(I$33="erinevus üldkeskmisest",'b3'!C3,'b3'!B3)</f>
        <v>4.3499999999999996</v>
      </c>
      <c r="F33" s="12" t="str">
        <f t="shared" ref="F33:F45" ca="1" si="3">IF(D33&gt;E33,"T","")</f>
        <v/>
      </c>
      <c r="G33" s="12" t="str">
        <f t="shared" ref="G33:G45" ca="1" si="4">IF(D33*-1&gt;E33, "N", "")</f>
        <v/>
      </c>
      <c r="I33" t="str">
        <f ca="1">IF(J32&gt;=17, "erinevus sõnalisest keskmisest ja soorituslikust keskmisest", "erinevus üldkeskmisest")</f>
        <v>erinevus üldkeskmisest</v>
      </c>
    </row>
    <row r="34" spans="1:9" x14ac:dyDescent="0.25">
      <c r="A34" t="s">
        <v>31</v>
      </c>
      <c r="B34">
        <f ca="1">C8</f>
        <v>8</v>
      </c>
      <c r="C34" s="14">
        <f t="shared" ca="1" si="1"/>
        <v>10.071428571428571</v>
      </c>
      <c r="D34" s="14">
        <f t="shared" ca="1" si="2"/>
        <v>-2.0714285714285712</v>
      </c>
      <c r="E34" s="14">
        <f ca="1">IF(I$33="erinevus üldkeskmisest",'b3'!C4,'b3'!B4)</f>
        <v>4.32</v>
      </c>
      <c r="F34" s="12" t="str">
        <f t="shared" ca="1" si="3"/>
        <v/>
      </c>
      <c r="G34" s="12" t="str">
        <f t="shared" ca="1" si="4"/>
        <v/>
      </c>
    </row>
    <row r="35" spans="1:9" x14ac:dyDescent="0.25">
      <c r="A35" t="s">
        <v>33</v>
      </c>
      <c r="B35">
        <f ca="1">C10</f>
        <v>7</v>
      </c>
      <c r="C35" s="14">
        <f t="shared" ca="1" si="1"/>
        <v>10.071428571428571</v>
      </c>
      <c r="D35" s="14">
        <f t="shared" ca="1" si="2"/>
        <v>-3.0714285714285712</v>
      </c>
      <c r="E35" s="14">
        <f ca="1">IF(I$33="erinevus üldkeskmisest",'b3'!C5,'b3'!B5)</f>
        <v>4.3499999999999996</v>
      </c>
      <c r="F35" s="12" t="str">
        <f t="shared" ca="1" si="3"/>
        <v/>
      </c>
      <c r="G35" s="12" t="str">
        <f t="shared" ca="1" si="4"/>
        <v/>
      </c>
    </row>
    <row r="36" spans="1:9" x14ac:dyDescent="0.25">
      <c r="A36" t="s">
        <v>34</v>
      </c>
      <c r="B36">
        <f ca="1">C11</f>
        <v>11</v>
      </c>
      <c r="C36" s="14">
        <f t="shared" ca="1" si="1"/>
        <v>10.071428571428571</v>
      </c>
      <c r="D36" s="14">
        <f t="shared" ca="1" si="2"/>
        <v>0.92857142857142883</v>
      </c>
      <c r="E36" s="14">
        <f ca="1">IF(I$33="erinevus üldkeskmisest",'b3'!C6,'b3'!B6)</f>
        <v>4.09</v>
      </c>
      <c r="F36" s="12" t="str">
        <f t="shared" ca="1" si="3"/>
        <v/>
      </c>
      <c r="G36" s="12" t="str">
        <f t="shared" ca="1" si="4"/>
        <v/>
      </c>
    </row>
    <row r="37" spans="1:9" x14ac:dyDescent="0.25">
      <c r="A37" t="s">
        <v>36</v>
      </c>
      <c r="B37">
        <f ca="1">C13</f>
        <v>11</v>
      </c>
      <c r="C37" s="14">
        <f t="shared" ca="1" si="1"/>
        <v>10.071428571428571</v>
      </c>
      <c r="D37" s="14">
        <f t="shared" ca="1" si="2"/>
        <v>0.92857142857142883</v>
      </c>
      <c r="E37" s="14">
        <f ca="1">IF(I$33="erinevus üldkeskmisest",'b3'!C7,'b3'!B7)</f>
        <v>4.3</v>
      </c>
      <c r="F37" s="12" t="str">
        <f t="shared" ca="1" si="3"/>
        <v/>
      </c>
      <c r="G37" s="12" t="str">
        <f t="shared" ca="1" si="4"/>
        <v/>
      </c>
    </row>
    <row r="38" spans="1:9" x14ac:dyDescent="0.25">
      <c r="A38" t="s">
        <v>38</v>
      </c>
      <c r="B38">
        <f ca="1">C15</f>
        <v>5</v>
      </c>
      <c r="C38" s="14">
        <f t="shared" ca="1" si="1"/>
        <v>10.071428571428571</v>
      </c>
      <c r="D38" s="14">
        <f t="shared" ca="1" si="2"/>
        <v>-5.0714285714285712</v>
      </c>
      <c r="E38" s="14">
        <f ca="1">IF(I$33="erinevus üldkeskmisest",'b3'!C8,'b3'!B8)</f>
        <v>4.49</v>
      </c>
      <c r="F38" s="12" t="str">
        <f t="shared" ca="1" si="3"/>
        <v/>
      </c>
      <c r="G38" s="12" t="str">
        <f t="shared" ca="1" si="4"/>
        <v>N</v>
      </c>
    </row>
    <row r="39" spans="1:9" x14ac:dyDescent="0.25">
      <c r="A39" t="s">
        <v>26</v>
      </c>
      <c r="B39">
        <f ca="1">D3</f>
        <v>13</v>
      </c>
      <c r="C39" s="14">
        <f t="shared" ref="C39:C45" ca="1" si="5">IF(I$33="erinevus üldkeskmisest",D$29,C$29)</f>
        <v>10.071428571428571</v>
      </c>
      <c r="D39" s="14">
        <f t="shared" ca="1" si="2"/>
        <v>2.9285714285714288</v>
      </c>
      <c r="E39" s="14">
        <f ca="1">IF(I$33="erinevus üldkeskmisest",'b3'!C9,'b3'!B9)</f>
        <v>4.5599999999999996</v>
      </c>
      <c r="F39" s="12" t="str">
        <f t="shared" ca="1" si="3"/>
        <v/>
      </c>
      <c r="G39" s="12" t="str">
        <f t="shared" ca="1" si="4"/>
        <v/>
      </c>
    </row>
    <row r="40" spans="1:9" x14ac:dyDescent="0.25">
      <c r="A40" t="s">
        <v>28</v>
      </c>
      <c r="B40">
        <f ca="1">D5</f>
        <v>7</v>
      </c>
      <c r="C40" s="14">
        <f t="shared" ca="1" si="5"/>
        <v>10.071428571428571</v>
      </c>
      <c r="D40" s="14">
        <f t="shared" ca="1" si="2"/>
        <v>-3.0714285714285712</v>
      </c>
      <c r="E40" s="14">
        <f ca="1">IF(I$33="erinevus üldkeskmisest",'b3'!C10,'b3'!B10)</f>
        <v>4.05</v>
      </c>
      <c r="F40" s="12" t="str">
        <f t="shared" ca="1" si="3"/>
        <v/>
      </c>
      <c r="G40" s="12" t="str">
        <f t="shared" ca="1" si="4"/>
        <v/>
      </c>
    </row>
    <row r="41" spans="1:9" x14ac:dyDescent="0.25">
      <c r="A41" t="s">
        <v>30</v>
      </c>
      <c r="B41">
        <f ca="1">D7</f>
        <v>11</v>
      </c>
      <c r="C41" s="14">
        <f t="shared" ca="1" si="5"/>
        <v>10.071428571428571</v>
      </c>
      <c r="D41" s="14">
        <f t="shared" ca="1" si="2"/>
        <v>0.92857142857142883</v>
      </c>
      <c r="E41" s="14">
        <f ca="1">IF(I$33="erinevus üldkeskmisest",'b3'!C11,'b3'!B11)</f>
        <v>4.42</v>
      </c>
      <c r="F41" s="12" t="str">
        <f t="shared" ca="1" si="3"/>
        <v/>
      </c>
      <c r="G41" s="12" t="str">
        <f t="shared" ca="1" si="4"/>
        <v/>
      </c>
    </row>
    <row r="42" spans="1:9" x14ac:dyDescent="0.25">
      <c r="A42" t="s">
        <v>32</v>
      </c>
      <c r="B42">
        <f ca="1">D9</f>
        <v>15</v>
      </c>
      <c r="C42" s="14">
        <f t="shared" ca="1" si="5"/>
        <v>10.071428571428571</v>
      </c>
      <c r="D42" s="14">
        <f t="shared" ca="1" si="2"/>
        <v>4.9285714285714288</v>
      </c>
      <c r="E42" s="14">
        <f ca="1">IF(I$33="erinevus üldkeskmisest",'b3'!C12,'b3'!B12)</f>
        <v>4.12</v>
      </c>
      <c r="F42" s="12" t="str">
        <f t="shared" ca="1" si="3"/>
        <v>T</v>
      </c>
      <c r="G42" s="12" t="str">
        <f t="shared" ca="1" si="4"/>
        <v/>
      </c>
    </row>
    <row r="43" spans="1:9" x14ac:dyDescent="0.25">
      <c r="A43" t="s">
        <v>35</v>
      </c>
      <c r="B43">
        <f ca="1">D12</f>
        <v>12</v>
      </c>
      <c r="C43" s="14">
        <f t="shared" ca="1" si="5"/>
        <v>10.071428571428571</v>
      </c>
      <c r="D43" s="14">
        <f t="shared" ca="1" si="2"/>
        <v>1.9285714285714288</v>
      </c>
      <c r="E43" s="14">
        <f ca="1">IF(I$33="erinevus üldkeskmisest",'b3'!C13,'b3'!B13)</f>
        <v>4.9400000000000004</v>
      </c>
      <c r="F43" s="12" t="str">
        <f t="shared" ca="1" si="3"/>
        <v/>
      </c>
      <c r="G43" s="12" t="str">
        <f t="shared" ca="1" si="4"/>
        <v/>
      </c>
    </row>
    <row r="44" spans="1:9" x14ac:dyDescent="0.25">
      <c r="A44" t="s">
        <v>37</v>
      </c>
      <c r="B44">
        <f ca="1">D14</f>
        <v>5</v>
      </c>
      <c r="C44" s="14">
        <f t="shared" ca="1" si="5"/>
        <v>10.071428571428571</v>
      </c>
      <c r="D44" s="14">
        <f t="shared" ca="1" si="2"/>
        <v>-5.0714285714285712</v>
      </c>
      <c r="E44" s="14">
        <f ca="1">IF(I$33="erinevus üldkeskmisest",'b3'!C14,'b3'!B14)</f>
        <v>4.25</v>
      </c>
      <c r="F44" s="12" t="str">
        <f t="shared" ca="1" si="3"/>
        <v/>
      </c>
      <c r="G44" s="12" t="str">
        <f t="shared" ca="1" si="4"/>
        <v>N</v>
      </c>
    </row>
    <row r="45" spans="1:9" x14ac:dyDescent="0.25">
      <c r="A45" t="s">
        <v>39</v>
      </c>
      <c r="B45">
        <f ca="1">D16</f>
        <v>10</v>
      </c>
      <c r="C45" s="14">
        <f t="shared" ca="1" si="5"/>
        <v>10.071428571428571</v>
      </c>
      <c r="D45" s="14">
        <f t="shared" ca="1" si="2"/>
        <v>-7.1428571428571175E-2</v>
      </c>
      <c r="E45" s="14">
        <f ca="1">IF(I$33="erinevus üldkeskmisest",'b3'!C15,'b3'!B15)</f>
        <v>4.72</v>
      </c>
      <c r="F45" s="12" t="str">
        <f t="shared" ca="1" si="3"/>
        <v/>
      </c>
      <c r="G45" s="12" t="str">
        <f t="shared" ca="1" si="4"/>
        <v/>
      </c>
    </row>
    <row r="47" spans="1:9" x14ac:dyDescent="0.25">
      <c r="B47" t="s">
        <v>79</v>
      </c>
      <c r="C47" t="s">
        <v>80</v>
      </c>
      <c r="D47" t="s">
        <v>62</v>
      </c>
      <c r="E47" t="s">
        <v>71</v>
      </c>
      <c r="F47" t="s">
        <v>88</v>
      </c>
      <c r="G47" t="s">
        <v>89</v>
      </c>
    </row>
    <row r="48" spans="1:9" x14ac:dyDescent="0.25">
      <c r="A48" t="s">
        <v>72</v>
      </c>
      <c r="B48">
        <f ca="1">B22</f>
        <v>103</v>
      </c>
      <c r="C48">
        <f ca="1">C22</f>
        <v>110</v>
      </c>
      <c r="D48">
        <f ca="1">B48-C48</f>
        <v>-7</v>
      </c>
      <c r="E48" s="14">
        <f ca="1">OFFSET('b1'!B2, (E$1-1)*8, 0)</f>
        <v>9.91</v>
      </c>
      <c r="F48" s="18" t="str">
        <f ca="1">IF(ABS(D48)&lt;E48, "", IF(ABS(D48)&gt;40, "&lt;" &amp; 'b2'!B$2, INDEX('b2'!B$2:B$42, MATCH(ABS(D48), 'b2'!A$2:A$42, 0))))</f>
        <v/>
      </c>
      <c r="G48" s="18" t="str">
        <f ca="1">IF(ABS(D48)&lt;E48, "", IF(ABS(D48)&gt;40, "&lt;" &amp; 'b2'!B$2/2, INDEX('b2'!B$2:B$42, MATCH(ABS(D48), 'b2'!A$2:A$42, 0))/2))</f>
        <v/>
      </c>
    </row>
    <row r="49" spans="1:8" x14ac:dyDescent="0.25">
      <c r="A49" t="s">
        <v>73</v>
      </c>
      <c r="B49">
        <f ca="1">E22</f>
        <v>114</v>
      </c>
      <c r="C49">
        <f ca="1">F22</f>
        <v>118</v>
      </c>
      <c r="D49">
        <f t="shared" ref="D49:D54" ca="1" si="6">B49-C49</f>
        <v>-4</v>
      </c>
      <c r="E49" s="14">
        <f ca="1">OFFSET('b1'!B3, (E$1-1)*8, 0)</f>
        <v>10.77</v>
      </c>
      <c r="F49" s="18" t="str">
        <f ca="1">IF(ABS(D49)&lt;E49, "", IF(ABS(D49)&gt;40, "&lt;" &amp; 'b2'!C$2, INDEX('b2'!C$2:C$42, MATCH(ABS(D49), 'b2'!A$2:A$42, 0))))</f>
        <v/>
      </c>
      <c r="G49" s="18" t="str">
        <f ca="1">IF(ABS(D49)&lt;E49, "", IF(ABS(D49)&gt;40, "&lt;" &amp; 'b2'!C$2/2, INDEX('b2'!C$2:C$42, MATCH(ABS(D49), 'b2'!A$2:A$42, 0))/2))</f>
        <v/>
      </c>
    </row>
    <row r="50" spans="1:8" x14ac:dyDescent="0.25">
      <c r="A50" t="s">
        <v>74</v>
      </c>
      <c r="B50">
        <f ca="1">E22</f>
        <v>114</v>
      </c>
      <c r="C50">
        <f ca="1">G22</f>
        <v>78</v>
      </c>
      <c r="D50">
        <f t="shared" ca="1" si="6"/>
        <v>36</v>
      </c>
      <c r="E50" s="14">
        <f ca="1">OFFSET('b1'!B4, (E$1-1)*8, 0)</f>
        <v>11.01</v>
      </c>
      <c r="F50" s="18">
        <f ca="1">IF(ABS(D50)&lt;E50, "", IF(ABS(D50)&gt;40, "&lt;" &amp; 'b2'!D$2, INDEX('b2'!D$2:D$42, MATCH(ABS(D50), 'b2'!A$2:A$42, 0))))</f>
        <v>1.2</v>
      </c>
      <c r="G50" s="18">
        <f ca="1">IF(ABS(D50)&lt;E50, "", IF(ABS(D50)&gt;40, "&lt;" &amp; 'b2'!D$2/2, INDEX('b2'!D$2:D$42, MATCH(ABS(D50), 'b2'!A$2:A$42, 0))/2))</f>
        <v>0.6</v>
      </c>
    </row>
    <row r="51" spans="1:8" x14ac:dyDescent="0.25">
      <c r="A51" t="s">
        <v>75</v>
      </c>
      <c r="B51">
        <f ca="1">F22</f>
        <v>118</v>
      </c>
      <c r="C51">
        <f ca="1">H22</f>
        <v>77</v>
      </c>
      <c r="D51">
        <f t="shared" ca="1" si="6"/>
        <v>41</v>
      </c>
      <c r="E51" s="14">
        <f ca="1">OFFSET('b1'!B5, (E$1-1)*8, 0)</f>
        <v>14.23</v>
      </c>
      <c r="F51" s="18" t="str">
        <f ca="1">IF(ABS(D51)&lt;E51, "", IF(ABS(D51)&gt;40, "&lt;" &amp; 'b2'!E$2, INDEX('b2'!E$2:E$42, MATCH(ABS(D51), 'b2'!A$2:A$42, 0))))</f>
        <v>&lt;0.8</v>
      </c>
      <c r="G51" s="18" t="str">
        <f ca="1">IF(ABS(D51)&lt;E51, "", IF(ABS(D51)&gt;40, "&lt;" &amp; 'b2'!E$2/2, INDEX('b2'!E$2:E$42, MATCH(ABS(D51), 'b2'!A$2:A$42, 0))/2))</f>
        <v>&lt;0.4</v>
      </c>
    </row>
    <row r="52" spans="1:8" x14ac:dyDescent="0.25">
      <c r="A52" t="s">
        <v>76</v>
      </c>
      <c r="B52">
        <f ca="1">E22</f>
        <v>114</v>
      </c>
      <c r="C52">
        <f ca="1">H22</f>
        <v>77</v>
      </c>
      <c r="D52">
        <f t="shared" ca="1" si="6"/>
        <v>37</v>
      </c>
      <c r="E52" s="14">
        <f ca="1">OFFSET('b1'!B6, (E$1-1)*8, 0)</f>
        <v>13.5</v>
      </c>
      <c r="F52" s="18">
        <f ca="1">IF(ABS(D52)&lt;E52, "", IF(ABS(D52)&gt;40, "&lt;" &amp; 'b2'!F$2, INDEX('b2'!F$2:F$42, MATCH(ABS(D52), 'b2'!A$2:A$42, 0))))</f>
        <v>1.8</v>
      </c>
      <c r="G52" s="18">
        <f ca="1">IF(ABS(D52)&lt;E52, "", IF(ABS(D52)&gt;40, "&lt;" &amp; 'b2'!F$2/2, INDEX('b2'!F$2:F$42, MATCH(ABS(D52), 'b2'!A$2:A$42, 0))/2))</f>
        <v>0.9</v>
      </c>
    </row>
    <row r="53" spans="1:8" x14ac:dyDescent="0.25">
      <c r="A53" t="s">
        <v>77</v>
      </c>
      <c r="B53">
        <f ca="1">F22</f>
        <v>118</v>
      </c>
      <c r="C53">
        <f ca="1">G22</f>
        <v>78</v>
      </c>
      <c r="D53">
        <f t="shared" ca="1" si="6"/>
        <v>40</v>
      </c>
      <c r="E53" s="14">
        <f ca="1">OFFSET('b1'!B7, (E$1-1)*8, 0)</f>
        <v>11.89</v>
      </c>
      <c r="F53" s="18">
        <f ca="1">IF(ABS(D53)&lt;E53, "", IF(ABS(D53)&gt;40, "&lt;" &amp; 'b2'!G$2, INDEX('b2'!G$2:G$42, MATCH(ABS(D53), 'b2'!A$2:A$42, 0))))</f>
        <v>0.3</v>
      </c>
      <c r="G53" s="18">
        <f ca="1">IF(ABS(D53)&lt;E53, "", IF(ABS(D53)&gt;40, "&lt;" &amp; 'b2'!G$2/2, INDEX('b2'!G$2:G$42, MATCH(ABS(D53), 'b2'!A$2:A$42, 0))/2))</f>
        <v>0.15</v>
      </c>
    </row>
    <row r="54" spans="1:8" x14ac:dyDescent="0.25">
      <c r="A54" t="s">
        <v>78</v>
      </c>
      <c r="B54">
        <f ca="1">G22</f>
        <v>78</v>
      </c>
      <c r="C54">
        <f ca="1">H22</f>
        <v>77</v>
      </c>
      <c r="D54">
        <f t="shared" ca="1" si="6"/>
        <v>1</v>
      </c>
      <c r="E54" s="14">
        <f ca="1">OFFSET('b1'!B8, (E$1-1)*8, 0)</f>
        <v>14.41</v>
      </c>
      <c r="F54" s="18" t="str">
        <f ca="1">IF(ABS(D54)&lt;E54, "", IF(ABS(D54)&gt;40, "&lt;" &amp; 'b2'!H$2, INDEX('b2'!H$2:H$42, MATCH(ABS(D54), 'b2'!A$2:A$42, 0))))</f>
        <v/>
      </c>
      <c r="G54" s="18" t="str">
        <f ca="1">IF(ABS(D54)&lt;E54, "", IF(ABS(D54)&gt;40, "&lt;" &amp; 'b2'!H$2/2, INDEX('b2'!H$2:H$42, MATCH(ABS(D54), 'b2'!A$2:A$42, 0))/2))</f>
        <v/>
      </c>
    </row>
    <row r="56" spans="1:8" x14ac:dyDescent="0.25">
      <c r="A56" t="s">
        <v>90</v>
      </c>
      <c r="B56" s="4">
        <v>6</v>
      </c>
      <c r="C56" s="3"/>
      <c r="D56" s="3"/>
      <c r="E56" s="3"/>
      <c r="F56" s="21">
        <f ca="1">INDEX(OFFSET('b6'!B2, (F$1-1)*10, 0, 9), MATCH(B56, 'b6'!A2:A10, 0))</f>
        <v>65.8</v>
      </c>
      <c r="H56" s="17"/>
    </row>
    <row r="57" spans="1:8" x14ac:dyDescent="0.25">
      <c r="A57" t="s">
        <v>91</v>
      </c>
      <c r="B57" s="4">
        <v>5</v>
      </c>
      <c r="C57" s="3"/>
      <c r="D57" s="3"/>
      <c r="E57" s="3"/>
      <c r="F57" s="21">
        <f ca="1">INDEX(OFFSET('b6'!C2, (F$1-1)*10, 0, 9), MATCH(B57, 'b6'!A2:A10, 0))</f>
        <v>60</v>
      </c>
    </row>
    <row r="58" spans="1:8" x14ac:dyDescent="0.25">
      <c r="A58" t="s">
        <v>92</v>
      </c>
      <c r="B58">
        <f>B56</f>
        <v>6</v>
      </c>
      <c r="C58">
        <f>B57</f>
        <v>5</v>
      </c>
      <c r="D58">
        <f>B58-C58</f>
        <v>1</v>
      </c>
      <c r="E58" s="3"/>
      <c r="F58" s="21">
        <f ca="1">INDEX(OFFSET('b7'!B1, (F$1-1)*13, 0, 12), MATCH(D58, 'b7'!A1:A12, 0))</f>
        <v>84.5</v>
      </c>
    </row>
  </sheetData>
  <mergeCells count="3">
    <mergeCell ref="C18:D18"/>
    <mergeCell ref="A24:A25"/>
    <mergeCell ref="J5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zoomScale="90" zoomScaleNormal="90" workbookViewId="0">
      <pane ySplit="1" topLeftCell="A4" activePane="bottomLeft" state="frozen"/>
      <selection pane="bottomLeft" activeCell="H8" sqref="H8"/>
    </sheetView>
  </sheetViews>
  <sheetFormatPr defaultColWidth="8.7109375" defaultRowHeight="15" x14ac:dyDescent="0.25"/>
  <cols>
    <col min="1" max="1" width="6.7109375" customWidth="1"/>
    <col min="2" max="7" width="10.140625" customWidth="1"/>
    <col min="8" max="8" width="10.140625" style="2" customWidth="1"/>
    <col min="9" max="15" width="10.140625" customWidth="1"/>
  </cols>
  <sheetData>
    <row r="1" spans="1:15" x14ac:dyDescent="0.25">
      <c r="A1" s="1" t="s">
        <v>5</v>
      </c>
      <c r="B1" s="9" t="s">
        <v>0</v>
      </c>
      <c r="C1" s="9" t="s">
        <v>1</v>
      </c>
      <c r="D1" s="9" t="s">
        <v>2</v>
      </c>
      <c r="E1" s="9" t="s">
        <v>8</v>
      </c>
      <c r="F1" s="9" t="s">
        <v>9</v>
      </c>
      <c r="G1" s="8" t="s">
        <v>10</v>
      </c>
      <c r="H1" s="11" t="s">
        <v>16</v>
      </c>
      <c r="I1" s="10" t="s">
        <v>15</v>
      </c>
      <c r="J1" s="10" t="s">
        <v>11</v>
      </c>
      <c r="K1" s="10" t="s">
        <v>3</v>
      </c>
      <c r="L1" s="10" t="s">
        <v>4</v>
      </c>
      <c r="M1" s="10" t="s">
        <v>12</v>
      </c>
      <c r="N1" s="10" t="s">
        <v>13</v>
      </c>
      <c r="O1" s="10" t="s">
        <v>14</v>
      </c>
    </row>
    <row r="2" spans="1:15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2</v>
      </c>
      <c r="B3">
        <v>5</v>
      </c>
      <c r="C3">
        <v>3</v>
      </c>
      <c r="D3">
        <v>2</v>
      </c>
      <c r="E3">
        <v>3</v>
      </c>
      <c r="F3">
        <v>1</v>
      </c>
      <c r="G3">
        <v>3</v>
      </c>
      <c r="H3" s="2">
        <v>2</v>
      </c>
      <c r="I3">
        <v>5</v>
      </c>
      <c r="J3">
        <v>20</v>
      </c>
      <c r="K3">
        <v>8</v>
      </c>
      <c r="L3">
        <v>3</v>
      </c>
      <c r="M3">
        <v>2</v>
      </c>
      <c r="N3">
        <v>4</v>
      </c>
      <c r="O3">
        <v>6</v>
      </c>
    </row>
    <row r="4" spans="1:15" x14ac:dyDescent="0.25">
      <c r="A4">
        <v>3</v>
      </c>
      <c r="B4">
        <v>11</v>
      </c>
      <c r="C4">
        <v>6</v>
      </c>
      <c r="D4">
        <v>5</v>
      </c>
      <c r="E4">
        <v>5</v>
      </c>
      <c r="F4">
        <v>2</v>
      </c>
      <c r="G4">
        <v>6</v>
      </c>
      <c r="H4" s="2">
        <v>3</v>
      </c>
      <c r="I4">
        <v>8</v>
      </c>
      <c r="J4">
        <v>35</v>
      </c>
      <c r="K4">
        <v>16</v>
      </c>
      <c r="L4">
        <v>6</v>
      </c>
      <c r="M4">
        <v>4</v>
      </c>
      <c r="N4">
        <v>9</v>
      </c>
      <c r="O4">
        <v>11</v>
      </c>
    </row>
    <row r="5" spans="1:15" x14ac:dyDescent="0.25">
      <c r="A5">
        <v>4</v>
      </c>
      <c r="B5">
        <v>17</v>
      </c>
      <c r="C5">
        <v>9</v>
      </c>
      <c r="D5">
        <v>7</v>
      </c>
      <c r="E5">
        <v>7</v>
      </c>
      <c r="F5">
        <v>3</v>
      </c>
      <c r="G5">
        <v>9</v>
      </c>
      <c r="H5" s="2">
        <v>5</v>
      </c>
      <c r="I5">
        <v>11</v>
      </c>
      <c r="J5">
        <v>43</v>
      </c>
      <c r="K5">
        <v>21</v>
      </c>
      <c r="L5">
        <v>9</v>
      </c>
      <c r="M5">
        <v>6</v>
      </c>
      <c r="N5">
        <v>15</v>
      </c>
      <c r="O5">
        <v>15</v>
      </c>
    </row>
    <row r="6" spans="1:15" x14ac:dyDescent="0.25">
      <c r="A6">
        <v>5</v>
      </c>
      <c r="B6">
        <v>22</v>
      </c>
      <c r="C6">
        <v>13</v>
      </c>
      <c r="D6">
        <v>8</v>
      </c>
      <c r="E6">
        <v>10</v>
      </c>
      <c r="F6">
        <v>5</v>
      </c>
      <c r="G6">
        <v>12</v>
      </c>
      <c r="H6" s="2">
        <v>6</v>
      </c>
      <c r="I6">
        <v>14</v>
      </c>
      <c r="J6">
        <v>49</v>
      </c>
      <c r="K6">
        <v>26</v>
      </c>
      <c r="L6">
        <v>11</v>
      </c>
      <c r="M6">
        <v>8</v>
      </c>
      <c r="N6">
        <v>20</v>
      </c>
      <c r="O6">
        <v>19</v>
      </c>
    </row>
    <row r="7" spans="1:15" x14ac:dyDescent="0.25">
      <c r="A7">
        <v>6</v>
      </c>
      <c r="B7">
        <v>27</v>
      </c>
      <c r="C7">
        <v>16</v>
      </c>
      <c r="D7">
        <v>9</v>
      </c>
      <c r="E7">
        <v>12</v>
      </c>
      <c r="F7">
        <v>7</v>
      </c>
      <c r="G7">
        <v>14</v>
      </c>
      <c r="H7" s="2">
        <v>7</v>
      </c>
      <c r="I7">
        <v>16</v>
      </c>
      <c r="J7">
        <v>55</v>
      </c>
      <c r="K7">
        <v>31</v>
      </c>
      <c r="L7">
        <v>13</v>
      </c>
      <c r="M7">
        <v>10</v>
      </c>
      <c r="N7">
        <v>24</v>
      </c>
      <c r="O7">
        <v>22</v>
      </c>
    </row>
    <row r="8" spans="1:15" x14ac:dyDescent="0.25">
      <c r="A8">
        <v>7</v>
      </c>
      <c r="B8">
        <v>31</v>
      </c>
      <c r="C8">
        <v>18</v>
      </c>
      <c r="D8">
        <v>11</v>
      </c>
      <c r="E8">
        <v>13</v>
      </c>
      <c r="F8">
        <v>9</v>
      </c>
      <c r="G8">
        <v>16</v>
      </c>
      <c r="H8" s="2">
        <v>8</v>
      </c>
      <c r="I8">
        <v>18</v>
      </c>
      <c r="J8">
        <v>61</v>
      </c>
      <c r="K8">
        <v>35</v>
      </c>
      <c r="L8">
        <v>15</v>
      </c>
      <c r="M8">
        <v>11</v>
      </c>
      <c r="N8">
        <v>28</v>
      </c>
      <c r="O8">
        <v>25</v>
      </c>
    </row>
    <row r="9" spans="1:15" x14ac:dyDescent="0.25">
      <c r="A9">
        <v>8</v>
      </c>
      <c r="B9">
        <v>35</v>
      </c>
      <c r="C9">
        <v>20</v>
      </c>
      <c r="D9">
        <v>12</v>
      </c>
      <c r="E9">
        <v>15</v>
      </c>
      <c r="F9">
        <v>11</v>
      </c>
      <c r="G9">
        <v>18</v>
      </c>
      <c r="H9" s="2">
        <v>9</v>
      </c>
      <c r="I9">
        <v>19</v>
      </c>
      <c r="J9">
        <v>67</v>
      </c>
      <c r="K9">
        <v>39</v>
      </c>
      <c r="L9">
        <v>17</v>
      </c>
      <c r="M9">
        <v>13</v>
      </c>
      <c r="N9">
        <v>31</v>
      </c>
      <c r="O9">
        <v>29</v>
      </c>
    </row>
    <row r="10" spans="1:15" x14ac:dyDescent="0.25">
      <c r="A10">
        <v>9</v>
      </c>
      <c r="B10">
        <v>38</v>
      </c>
      <c r="C10">
        <v>22</v>
      </c>
      <c r="D10">
        <v>13</v>
      </c>
      <c r="E10">
        <v>16</v>
      </c>
      <c r="F10">
        <v>14</v>
      </c>
      <c r="G10">
        <v>20</v>
      </c>
      <c r="H10" s="2">
        <v>10</v>
      </c>
      <c r="I10">
        <v>20</v>
      </c>
      <c r="J10">
        <v>72</v>
      </c>
      <c r="K10">
        <v>43</v>
      </c>
      <c r="L10">
        <v>19</v>
      </c>
      <c r="M10">
        <v>14</v>
      </c>
      <c r="N10">
        <v>34</v>
      </c>
      <c r="O10">
        <v>32</v>
      </c>
    </row>
    <row r="11" spans="1:15" x14ac:dyDescent="0.25">
      <c r="A11">
        <v>10</v>
      </c>
      <c r="B11">
        <v>41</v>
      </c>
      <c r="C11">
        <v>24</v>
      </c>
      <c r="D11">
        <v>15</v>
      </c>
      <c r="E11">
        <v>17</v>
      </c>
      <c r="F11">
        <v>16</v>
      </c>
      <c r="G11">
        <v>22</v>
      </c>
      <c r="H11" s="2">
        <v>11</v>
      </c>
      <c r="I11">
        <v>21</v>
      </c>
      <c r="J11">
        <v>77</v>
      </c>
      <c r="K11">
        <v>48</v>
      </c>
      <c r="L11">
        <v>20</v>
      </c>
      <c r="M11">
        <v>15</v>
      </c>
      <c r="N11">
        <v>36</v>
      </c>
      <c r="O11">
        <v>35</v>
      </c>
    </row>
    <row r="12" spans="1:15" x14ac:dyDescent="0.25">
      <c r="A12">
        <v>11</v>
      </c>
      <c r="B12">
        <v>43</v>
      </c>
      <c r="C12">
        <v>25</v>
      </c>
      <c r="D12">
        <v>16</v>
      </c>
      <c r="E12">
        <v>18</v>
      </c>
      <c r="F12">
        <v>18</v>
      </c>
      <c r="G12">
        <v>24</v>
      </c>
      <c r="H12" s="2">
        <v>12</v>
      </c>
      <c r="J12">
        <v>83</v>
      </c>
      <c r="K12">
        <v>52</v>
      </c>
      <c r="L12">
        <v>21</v>
      </c>
      <c r="M12">
        <v>17</v>
      </c>
      <c r="N12">
        <v>39</v>
      </c>
      <c r="O12">
        <v>38</v>
      </c>
    </row>
    <row r="13" spans="1:15" x14ac:dyDescent="0.25">
      <c r="A13">
        <v>12</v>
      </c>
      <c r="B13">
        <v>46</v>
      </c>
      <c r="C13">
        <v>27</v>
      </c>
      <c r="D13">
        <v>17</v>
      </c>
      <c r="E13">
        <v>20</v>
      </c>
      <c r="F13">
        <v>20</v>
      </c>
      <c r="G13">
        <v>25</v>
      </c>
      <c r="H13" s="2">
        <v>13</v>
      </c>
      <c r="I13">
        <v>22</v>
      </c>
      <c r="J13">
        <v>88</v>
      </c>
      <c r="K13">
        <v>56</v>
      </c>
      <c r="L13">
        <v>23</v>
      </c>
      <c r="M13">
        <v>18</v>
      </c>
      <c r="N13">
        <v>42</v>
      </c>
      <c r="O13">
        <v>40</v>
      </c>
    </row>
    <row r="14" spans="1:15" x14ac:dyDescent="0.25">
      <c r="A14">
        <v>13</v>
      </c>
      <c r="B14">
        <v>48</v>
      </c>
      <c r="C14">
        <v>29</v>
      </c>
      <c r="D14">
        <v>18</v>
      </c>
      <c r="E14">
        <v>21</v>
      </c>
      <c r="F14">
        <v>22</v>
      </c>
      <c r="G14">
        <v>26</v>
      </c>
      <c r="H14" s="2">
        <v>14</v>
      </c>
      <c r="J14">
        <v>93</v>
      </c>
      <c r="K14">
        <v>59</v>
      </c>
      <c r="L14">
        <v>24</v>
      </c>
      <c r="M14">
        <v>19</v>
      </c>
      <c r="N14">
        <v>45</v>
      </c>
      <c r="O14">
        <v>43</v>
      </c>
    </row>
    <row r="15" spans="1:15" x14ac:dyDescent="0.25">
      <c r="A15">
        <v>14</v>
      </c>
      <c r="B15">
        <v>51</v>
      </c>
      <c r="C15">
        <v>30</v>
      </c>
      <c r="D15">
        <v>19</v>
      </c>
      <c r="E15">
        <v>23</v>
      </c>
      <c r="F15">
        <v>23</v>
      </c>
      <c r="G15">
        <v>28</v>
      </c>
      <c r="H15" s="2">
        <v>15</v>
      </c>
      <c r="I15">
        <v>23</v>
      </c>
      <c r="J15">
        <v>97</v>
      </c>
      <c r="K15">
        <v>62</v>
      </c>
      <c r="L15">
        <v>25</v>
      </c>
      <c r="M15">
        <v>20</v>
      </c>
      <c r="N15">
        <v>48</v>
      </c>
      <c r="O15">
        <v>45</v>
      </c>
    </row>
    <row r="16" spans="1:15" x14ac:dyDescent="0.25">
      <c r="A16">
        <v>15</v>
      </c>
      <c r="B16">
        <v>54</v>
      </c>
      <c r="C16">
        <v>31</v>
      </c>
      <c r="D16">
        <v>20</v>
      </c>
      <c r="E16">
        <v>24</v>
      </c>
      <c r="F16">
        <v>24</v>
      </c>
      <c r="G16">
        <v>29</v>
      </c>
      <c r="H16" s="2">
        <v>16</v>
      </c>
      <c r="I16">
        <v>24</v>
      </c>
      <c r="J16">
        <v>102</v>
      </c>
      <c r="K16">
        <v>64</v>
      </c>
      <c r="N16">
        <v>51</v>
      </c>
      <c r="O16">
        <v>48</v>
      </c>
    </row>
    <row r="17" spans="1:15" x14ac:dyDescent="0.25">
      <c r="A17">
        <v>16</v>
      </c>
      <c r="B17">
        <v>57</v>
      </c>
      <c r="C17">
        <v>32</v>
      </c>
      <c r="D17">
        <v>21</v>
      </c>
      <c r="E17">
        <v>25</v>
      </c>
      <c r="F17">
        <v>26</v>
      </c>
      <c r="G17">
        <v>30</v>
      </c>
      <c r="H17" s="2">
        <v>17</v>
      </c>
      <c r="J17">
        <v>106</v>
      </c>
      <c r="K17">
        <v>66</v>
      </c>
      <c r="L17">
        <v>26</v>
      </c>
      <c r="M17">
        <v>21</v>
      </c>
      <c r="N17">
        <v>54</v>
      </c>
      <c r="O17">
        <v>50</v>
      </c>
    </row>
    <row r="18" spans="1:15" x14ac:dyDescent="0.25">
      <c r="A18">
        <v>17</v>
      </c>
      <c r="B18">
        <v>59</v>
      </c>
      <c r="C18">
        <v>33</v>
      </c>
      <c r="D18">
        <v>22</v>
      </c>
      <c r="E18">
        <v>27</v>
      </c>
      <c r="F18">
        <v>27</v>
      </c>
      <c r="G18">
        <v>31</v>
      </c>
      <c r="H18" s="2">
        <v>18</v>
      </c>
      <c r="I18">
        <v>25</v>
      </c>
      <c r="J18">
        <v>113</v>
      </c>
      <c r="K18">
        <v>68</v>
      </c>
      <c r="M18">
        <v>22</v>
      </c>
      <c r="N18">
        <v>56</v>
      </c>
      <c r="O18">
        <v>52</v>
      </c>
    </row>
    <row r="19" spans="1:15" x14ac:dyDescent="0.25">
      <c r="A19">
        <v>18</v>
      </c>
      <c r="B19">
        <v>62</v>
      </c>
      <c r="C19">
        <v>34</v>
      </c>
      <c r="E19">
        <v>28</v>
      </c>
      <c r="F19">
        <v>28</v>
      </c>
      <c r="G19">
        <v>32</v>
      </c>
      <c r="H19" s="2">
        <v>20</v>
      </c>
      <c r="J19">
        <v>119</v>
      </c>
      <c r="N19">
        <v>59</v>
      </c>
    </row>
    <row r="20" spans="1:15" x14ac:dyDescent="0.25">
      <c r="A20">
        <v>19</v>
      </c>
      <c r="B20">
        <v>64</v>
      </c>
      <c r="C20">
        <v>35</v>
      </c>
      <c r="E20">
        <v>30</v>
      </c>
      <c r="G20">
        <v>33</v>
      </c>
      <c r="H20" s="2">
        <v>21</v>
      </c>
      <c r="J20">
        <v>125</v>
      </c>
    </row>
    <row r="22" spans="1:15" x14ac:dyDescent="0.2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</v>
      </c>
      <c r="B23">
        <v>6</v>
      </c>
      <c r="C23">
        <v>3</v>
      </c>
      <c r="D23">
        <v>2</v>
      </c>
      <c r="E23">
        <v>3</v>
      </c>
      <c r="F23">
        <v>1</v>
      </c>
      <c r="G23">
        <v>3</v>
      </c>
      <c r="H23" s="2">
        <v>2</v>
      </c>
      <c r="I23">
        <v>5</v>
      </c>
      <c r="J23">
        <v>19</v>
      </c>
      <c r="K23">
        <v>8</v>
      </c>
      <c r="L23">
        <v>3</v>
      </c>
      <c r="M23">
        <v>2</v>
      </c>
      <c r="N23">
        <v>4</v>
      </c>
      <c r="O23">
        <v>6</v>
      </c>
    </row>
    <row r="24" spans="1:15" x14ac:dyDescent="0.25">
      <c r="A24">
        <v>3</v>
      </c>
      <c r="B24">
        <v>12</v>
      </c>
      <c r="C24">
        <v>6</v>
      </c>
      <c r="D24">
        <v>5</v>
      </c>
      <c r="E24">
        <v>5</v>
      </c>
      <c r="F24">
        <v>2</v>
      </c>
      <c r="G24">
        <v>6</v>
      </c>
      <c r="H24" s="2">
        <v>3</v>
      </c>
      <c r="I24">
        <v>8</v>
      </c>
      <c r="J24">
        <v>34</v>
      </c>
      <c r="K24">
        <v>16</v>
      </c>
      <c r="L24">
        <v>6</v>
      </c>
      <c r="M24">
        <v>4</v>
      </c>
      <c r="N24">
        <v>9</v>
      </c>
      <c r="O24">
        <v>11</v>
      </c>
    </row>
    <row r="25" spans="1:15" x14ac:dyDescent="0.25">
      <c r="A25">
        <v>4</v>
      </c>
      <c r="B25">
        <v>17</v>
      </c>
      <c r="C25">
        <v>9</v>
      </c>
      <c r="D25">
        <v>7</v>
      </c>
      <c r="E25">
        <v>7</v>
      </c>
      <c r="F25">
        <v>3</v>
      </c>
      <c r="G25">
        <v>9</v>
      </c>
      <c r="H25" s="2">
        <v>5</v>
      </c>
      <c r="I25">
        <v>11</v>
      </c>
      <c r="J25">
        <v>42</v>
      </c>
      <c r="K25">
        <v>21</v>
      </c>
      <c r="L25">
        <v>9</v>
      </c>
      <c r="M25">
        <v>6</v>
      </c>
      <c r="N25">
        <v>15</v>
      </c>
      <c r="O25">
        <v>15</v>
      </c>
    </row>
    <row r="26" spans="1:15" x14ac:dyDescent="0.25">
      <c r="A26">
        <v>5</v>
      </c>
      <c r="B26">
        <v>22</v>
      </c>
      <c r="C26">
        <v>13</v>
      </c>
      <c r="D26">
        <v>8</v>
      </c>
      <c r="E26">
        <v>10</v>
      </c>
      <c r="F26">
        <v>5</v>
      </c>
      <c r="G26">
        <v>12</v>
      </c>
      <c r="H26" s="2">
        <v>6</v>
      </c>
      <c r="I26">
        <v>14</v>
      </c>
      <c r="J26">
        <v>49</v>
      </c>
      <c r="K26">
        <v>26</v>
      </c>
      <c r="L26">
        <v>11</v>
      </c>
      <c r="M26">
        <v>8</v>
      </c>
      <c r="N26">
        <v>20</v>
      </c>
      <c r="O26">
        <v>18</v>
      </c>
    </row>
    <row r="27" spans="1:15" x14ac:dyDescent="0.25">
      <c r="A27">
        <v>6</v>
      </c>
      <c r="B27">
        <v>27</v>
      </c>
      <c r="C27">
        <v>16</v>
      </c>
      <c r="D27">
        <v>9</v>
      </c>
      <c r="E27">
        <v>12</v>
      </c>
      <c r="F27">
        <v>7</v>
      </c>
      <c r="G27">
        <v>14</v>
      </c>
      <c r="H27" s="2">
        <v>7</v>
      </c>
      <c r="I27">
        <v>16</v>
      </c>
      <c r="J27">
        <v>55</v>
      </c>
      <c r="K27">
        <v>31</v>
      </c>
      <c r="L27">
        <v>13</v>
      </c>
      <c r="M27">
        <v>10</v>
      </c>
      <c r="N27">
        <v>24</v>
      </c>
      <c r="O27">
        <v>22</v>
      </c>
    </row>
    <row r="28" spans="1:15" x14ac:dyDescent="0.25">
      <c r="A28">
        <v>7</v>
      </c>
      <c r="B28">
        <v>31</v>
      </c>
      <c r="C28">
        <v>19</v>
      </c>
      <c r="D28">
        <v>11</v>
      </c>
      <c r="E28">
        <v>13</v>
      </c>
      <c r="F28">
        <v>9</v>
      </c>
      <c r="G28">
        <v>16</v>
      </c>
      <c r="H28" s="2">
        <v>8</v>
      </c>
      <c r="I28">
        <v>18</v>
      </c>
      <c r="J28">
        <v>60</v>
      </c>
      <c r="K28">
        <v>35</v>
      </c>
      <c r="L28">
        <v>15</v>
      </c>
      <c r="M28">
        <v>11</v>
      </c>
      <c r="N28">
        <v>28</v>
      </c>
      <c r="O28">
        <v>25</v>
      </c>
    </row>
    <row r="29" spans="1:15" x14ac:dyDescent="0.25">
      <c r="A29">
        <v>8</v>
      </c>
      <c r="B29">
        <v>35</v>
      </c>
      <c r="C29">
        <v>21</v>
      </c>
      <c r="D29">
        <v>12</v>
      </c>
      <c r="E29">
        <v>15</v>
      </c>
      <c r="F29">
        <v>11</v>
      </c>
      <c r="G29">
        <v>18</v>
      </c>
      <c r="H29" s="2">
        <v>9</v>
      </c>
      <c r="I29">
        <v>19</v>
      </c>
      <c r="J29">
        <v>66</v>
      </c>
      <c r="K29">
        <v>39</v>
      </c>
      <c r="L29">
        <v>17</v>
      </c>
      <c r="M29">
        <v>13</v>
      </c>
      <c r="N29">
        <v>31</v>
      </c>
      <c r="O29">
        <v>29</v>
      </c>
    </row>
    <row r="30" spans="1:15" x14ac:dyDescent="0.25">
      <c r="A30">
        <v>9</v>
      </c>
      <c r="B30">
        <v>38</v>
      </c>
      <c r="C30">
        <v>22</v>
      </c>
      <c r="D30">
        <v>13</v>
      </c>
      <c r="E30">
        <v>16</v>
      </c>
      <c r="F30">
        <v>14</v>
      </c>
      <c r="G30">
        <v>20</v>
      </c>
      <c r="H30" s="2">
        <v>10</v>
      </c>
      <c r="I30">
        <v>20</v>
      </c>
      <c r="J30">
        <v>71</v>
      </c>
      <c r="K30">
        <v>43</v>
      </c>
      <c r="L30">
        <v>19</v>
      </c>
      <c r="M30">
        <v>14</v>
      </c>
      <c r="N30">
        <v>34</v>
      </c>
      <c r="O30">
        <v>33</v>
      </c>
    </row>
    <row r="31" spans="1:15" x14ac:dyDescent="0.25">
      <c r="A31">
        <v>10</v>
      </c>
      <c r="B31">
        <v>41</v>
      </c>
      <c r="C31">
        <v>24</v>
      </c>
      <c r="D31">
        <v>15</v>
      </c>
      <c r="E31">
        <v>17</v>
      </c>
      <c r="F31">
        <v>16</v>
      </c>
      <c r="G31">
        <v>22</v>
      </c>
      <c r="H31" s="2">
        <v>11</v>
      </c>
      <c r="I31">
        <v>21</v>
      </c>
      <c r="J31">
        <v>77</v>
      </c>
      <c r="K31">
        <v>48</v>
      </c>
      <c r="L31">
        <v>20</v>
      </c>
      <c r="M31">
        <v>15</v>
      </c>
      <c r="N31">
        <v>36</v>
      </c>
      <c r="O31">
        <v>36</v>
      </c>
    </row>
    <row r="32" spans="1:15" x14ac:dyDescent="0.25">
      <c r="A32">
        <v>11</v>
      </c>
      <c r="B32">
        <v>44</v>
      </c>
      <c r="C32">
        <v>25</v>
      </c>
      <c r="D32">
        <v>16</v>
      </c>
      <c r="E32">
        <v>18</v>
      </c>
      <c r="F32">
        <v>18</v>
      </c>
      <c r="G32">
        <v>24</v>
      </c>
      <c r="H32" s="2">
        <v>12</v>
      </c>
      <c r="J32">
        <v>82</v>
      </c>
      <c r="K32">
        <v>52</v>
      </c>
      <c r="L32">
        <v>21</v>
      </c>
      <c r="M32">
        <v>17</v>
      </c>
      <c r="N32">
        <v>39</v>
      </c>
      <c r="O32">
        <v>39</v>
      </c>
    </row>
    <row r="33" spans="1:15" x14ac:dyDescent="0.25">
      <c r="A33">
        <v>12</v>
      </c>
      <c r="B33">
        <v>47</v>
      </c>
      <c r="C33">
        <v>27</v>
      </c>
      <c r="D33">
        <v>17</v>
      </c>
      <c r="E33">
        <v>20</v>
      </c>
      <c r="F33">
        <v>20</v>
      </c>
      <c r="G33">
        <v>26</v>
      </c>
      <c r="H33" s="2">
        <v>13</v>
      </c>
      <c r="I33">
        <v>22</v>
      </c>
      <c r="J33">
        <v>87</v>
      </c>
      <c r="K33">
        <v>56</v>
      </c>
      <c r="L33">
        <v>23</v>
      </c>
      <c r="M33">
        <v>18</v>
      </c>
      <c r="N33">
        <v>42</v>
      </c>
      <c r="O33">
        <v>41</v>
      </c>
    </row>
    <row r="34" spans="1:15" x14ac:dyDescent="0.25">
      <c r="A34">
        <v>13</v>
      </c>
      <c r="B34">
        <v>50</v>
      </c>
      <c r="C34">
        <v>29</v>
      </c>
      <c r="D34">
        <v>18</v>
      </c>
      <c r="E34">
        <v>21</v>
      </c>
      <c r="F34">
        <v>22</v>
      </c>
      <c r="G34">
        <v>27</v>
      </c>
      <c r="H34" s="2">
        <v>14</v>
      </c>
      <c r="J34">
        <v>92</v>
      </c>
      <c r="K34">
        <v>59</v>
      </c>
      <c r="L34">
        <v>24</v>
      </c>
      <c r="M34">
        <v>19</v>
      </c>
      <c r="N34">
        <v>45</v>
      </c>
      <c r="O34">
        <v>44</v>
      </c>
    </row>
    <row r="35" spans="1:15" x14ac:dyDescent="0.25">
      <c r="A35">
        <v>14</v>
      </c>
      <c r="B35">
        <v>52</v>
      </c>
      <c r="C35">
        <v>30</v>
      </c>
      <c r="D35">
        <v>19</v>
      </c>
      <c r="E35">
        <v>23</v>
      </c>
      <c r="F35">
        <v>24</v>
      </c>
      <c r="G35">
        <v>28</v>
      </c>
      <c r="H35" s="2">
        <v>15</v>
      </c>
      <c r="I35">
        <v>23</v>
      </c>
      <c r="J35">
        <v>97</v>
      </c>
      <c r="K35">
        <v>62</v>
      </c>
      <c r="L35">
        <v>25</v>
      </c>
      <c r="M35">
        <v>20</v>
      </c>
      <c r="N35">
        <v>48</v>
      </c>
      <c r="O35">
        <v>46</v>
      </c>
    </row>
    <row r="36" spans="1:15" x14ac:dyDescent="0.25">
      <c r="A36">
        <v>15</v>
      </c>
      <c r="B36">
        <v>54</v>
      </c>
      <c r="C36">
        <v>31</v>
      </c>
      <c r="D36">
        <v>20</v>
      </c>
      <c r="E36">
        <v>24</v>
      </c>
      <c r="F36">
        <v>25</v>
      </c>
      <c r="G36">
        <v>29</v>
      </c>
      <c r="H36" s="2">
        <v>16</v>
      </c>
      <c r="I36">
        <v>24</v>
      </c>
      <c r="J36">
        <v>102</v>
      </c>
      <c r="K36">
        <v>64</v>
      </c>
      <c r="N36">
        <v>51</v>
      </c>
      <c r="O36">
        <v>48</v>
      </c>
    </row>
    <row r="37" spans="1:15" x14ac:dyDescent="0.25">
      <c r="A37">
        <v>16</v>
      </c>
      <c r="B37">
        <v>57</v>
      </c>
      <c r="C37">
        <v>32</v>
      </c>
      <c r="D37">
        <v>21</v>
      </c>
      <c r="E37">
        <v>25</v>
      </c>
      <c r="F37">
        <v>27</v>
      </c>
      <c r="G37">
        <v>31</v>
      </c>
      <c r="H37" s="2">
        <v>17</v>
      </c>
      <c r="J37">
        <v>107</v>
      </c>
      <c r="K37">
        <v>66</v>
      </c>
      <c r="L37">
        <v>26</v>
      </c>
      <c r="M37">
        <v>21</v>
      </c>
      <c r="N37">
        <v>54</v>
      </c>
      <c r="O37">
        <v>50</v>
      </c>
    </row>
    <row r="38" spans="1:15" x14ac:dyDescent="0.25">
      <c r="A38">
        <v>17</v>
      </c>
      <c r="B38">
        <v>59</v>
      </c>
      <c r="C38">
        <v>33</v>
      </c>
      <c r="D38">
        <v>22</v>
      </c>
      <c r="E38">
        <v>27</v>
      </c>
      <c r="F38">
        <v>28</v>
      </c>
      <c r="G38">
        <v>32</v>
      </c>
      <c r="H38" s="2">
        <v>18</v>
      </c>
      <c r="I38">
        <v>25</v>
      </c>
      <c r="J38">
        <v>113</v>
      </c>
      <c r="K38">
        <v>68</v>
      </c>
      <c r="M38">
        <v>22</v>
      </c>
      <c r="N38">
        <v>56</v>
      </c>
      <c r="O38">
        <v>52</v>
      </c>
    </row>
    <row r="39" spans="1:15" x14ac:dyDescent="0.25">
      <c r="A39">
        <v>18</v>
      </c>
      <c r="B39">
        <v>62</v>
      </c>
      <c r="C39">
        <v>34</v>
      </c>
      <c r="E39">
        <v>28</v>
      </c>
      <c r="G39">
        <v>33</v>
      </c>
      <c r="H39" s="2">
        <v>20</v>
      </c>
      <c r="J39">
        <v>118</v>
      </c>
      <c r="N39">
        <v>59</v>
      </c>
    </row>
    <row r="40" spans="1:15" x14ac:dyDescent="0.25">
      <c r="A40">
        <v>19</v>
      </c>
      <c r="B40">
        <v>64</v>
      </c>
      <c r="C40">
        <v>35</v>
      </c>
      <c r="E40">
        <v>30</v>
      </c>
      <c r="H40" s="2">
        <v>21</v>
      </c>
      <c r="J40">
        <v>125</v>
      </c>
    </row>
    <row r="42" spans="1:15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2</v>
      </c>
      <c r="B43">
        <v>7</v>
      </c>
      <c r="C43">
        <v>3</v>
      </c>
      <c r="D43">
        <v>3</v>
      </c>
      <c r="E43">
        <v>3</v>
      </c>
      <c r="F43">
        <v>1</v>
      </c>
      <c r="G43">
        <v>3</v>
      </c>
      <c r="H43" s="2">
        <v>2</v>
      </c>
      <c r="I43">
        <v>4</v>
      </c>
      <c r="J43">
        <v>18</v>
      </c>
      <c r="K43">
        <v>7</v>
      </c>
      <c r="L43">
        <v>3</v>
      </c>
      <c r="M43">
        <v>2</v>
      </c>
      <c r="N43">
        <v>4</v>
      </c>
      <c r="O43">
        <v>6</v>
      </c>
    </row>
    <row r="44" spans="1:15" x14ac:dyDescent="0.25">
      <c r="A44">
        <v>3</v>
      </c>
      <c r="B44">
        <v>13</v>
      </c>
      <c r="C44">
        <v>6</v>
      </c>
      <c r="D44">
        <v>5</v>
      </c>
      <c r="E44">
        <v>5</v>
      </c>
      <c r="F44">
        <v>2</v>
      </c>
      <c r="G44">
        <v>6</v>
      </c>
      <c r="H44" s="2">
        <v>3</v>
      </c>
      <c r="I44">
        <v>7</v>
      </c>
      <c r="J44">
        <v>32</v>
      </c>
      <c r="K44">
        <v>15</v>
      </c>
      <c r="L44">
        <v>6</v>
      </c>
      <c r="M44">
        <v>4</v>
      </c>
      <c r="N44">
        <v>9</v>
      </c>
      <c r="O44">
        <v>10</v>
      </c>
    </row>
    <row r="45" spans="1:15" x14ac:dyDescent="0.25">
      <c r="A45">
        <v>4</v>
      </c>
      <c r="B45">
        <v>18</v>
      </c>
      <c r="C45">
        <v>9</v>
      </c>
      <c r="D45">
        <v>7</v>
      </c>
      <c r="E45">
        <v>7</v>
      </c>
      <c r="F45">
        <v>3</v>
      </c>
      <c r="G45">
        <v>9</v>
      </c>
      <c r="H45" s="2">
        <v>4</v>
      </c>
      <c r="I45">
        <v>10</v>
      </c>
      <c r="J45">
        <v>40</v>
      </c>
      <c r="K45">
        <v>21</v>
      </c>
      <c r="L45">
        <v>8</v>
      </c>
      <c r="M45">
        <v>6</v>
      </c>
      <c r="N45">
        <v>15</v>
      </c>
      <c r="O45">
        <v>14</v>
      </c>
    </row>
    <row r="46" spans="1:15" x14ac:dyDescent="0.25">
      <c r="A46">
        <v>5</v>
      </c>
      <c r="B46">
        <v>23</v>
      </c>
      <c r="C46">
        <v>13</v>
      </c>
      <c r="D46">
        <v>8</v>
      </c>
      <c r="E46">
        <v>10</v>
      </c>
      <c r="F46">
        <v>5</v>
      </c>
      <c r="G46">
        <v>12</v>
      </c>
      <c r="H46" s="2">
        <v>6</v>
      </c>
      <c r="I46">
        <v>13</v>
      </c>
      <c r="J46">
        <v>47</v>
      </c>
      <c r="K46">
        <v>26</v>
      </c>
      <c r="L46">
        <v>10</v>
      </c>
      <c r="M46">
        <v>8</v>
      </c>
      <c r="N46">
        <v>20</v>
      </c>
      <c r="O46">
        <v>18</v>
      </c>
    </row>
    <row r="47" spans="1:15" x14ac:dyDescent="0.25">
      <c r="A47">
        <v>6</v>
      </c>
      <c r="B47">
        <v>28</v>
      </c>
      <c r="C47">
        <v>16</v>
      </c>
      <c r="D47">
        <v>9</v>
      </c>
      <c r="E47">
        <v>12</v>
      </c>
      <c r="F47">
        <v>7</v>
      </c>
      <c r="G47">
        <v>14</v>
      </c>
      <c r="H47" s="2">
        <v>7</v>
      </c>
      <c r="I47">
        <v>15</v>
      </c>
      <c r="J47">
        <v>53</v>
      </c>
      <c r="K47">
        <v>31</v>
      </c>
      <c r="L47">
        <v>12</v>
      </c>
      <c r="M47">
        <v>10</v>
      </c>
      <c r="N47">
        <v>23</v>
      </c>
      <c r="O47">
        <v>22</v>
      </c>
    </row>
    <row r="48" spans="1:15" x14ac:dyDescent="0.25">
      <c r="A48">
        <v>7</v>
      </c>
      <c r="B48">
        <v>32</v>
      </c>
      <c r="C48">
        <v>19</v>
      </c>
      <c r="D48">
        <v>11</v>
      </c>
      <c r="E48">
        <v>13</v>
      </c>
      <c r="F48">
        <v>9</v>
      </c>
      <c r="G48">
        <v>17</v>
      </c>
      <c r="H48" s="2">
        <v>8</v>
      </c>
      <c r="I48">
        <v>17</v>
      </c>
      <c r="J48">
        <v>59</v>
      </c>
      <c r="K48">
        <v>35</v>
      </c>
      <c r="L48">
        <v>15</v>
      </c>
      <c r="M48">
        <v>11</v>
      </c>
      <c r="N48">
        <v>27</v>
      </c>
      <c r="O48">
        <v>25</v>
      </c>
    </row>
    <row r="49" spans="1:15" x14ac:dyDescent="0.25">
      <c r="A49">
        <v>8</v>
      </c>
      <c r="B49">
        <v>36</v>
      </c>
      <c r="C49">
        <v>21</v>
      </c>
      <c r="D49">
        <v>12</v>
      </c>
      <c r="E49">
        <v>15</v>
      </c>
      <c r="F49">
        <v>11</v>
      </c>
      <c r="G49">
        <v>19</v>
      </c>
      <c r="H49" s="2">
        <v>9</v>
      </c>
      <c r="I49">
        <v>19</v>
      </c>
      <c r="J49">
        <v>65</v>
      </c>
      <c r="K49">
        <v>39</v>
      </c>
      <c r="L49">
        <v>17</v>
      </c>
      <c r="M49">
        <v>13</v>
      </c>
      <c r="N49">
        <v>30</v>
      </c>
      <c r="O49">
        <v>29</v>
      </c>
    </row>
    <row r="50" spans="1:15" x14ac:dyDescent="0.25">
      <c r="A50">
        <v>9</v>
      </c>
      <c r="B50">
        <v>39</v>
      </c>
      <c r="C50">
        <v>23</v>
      </c>
      <c r="D50">
        <v>13</v>
      </c>
      <c r="E50">
        <v>16</v>
      </c>
      <c r="F50">
        <v>14</v>
      </c>
      <c r="G50">
        <v>21</v>
      </c>
      <c r="H50" s="2">
        <v>10</v>
      </c>
      <c r="I50">
        <v>20</v>
      </c>
      <c r="J50">
        <v>70</v>
      </c>
      <c r="K50">
        <v>43</v>
      </c>
      <c r="L50">
        <v>19</v>
      </c>
      <c r="M50">
        <v>14</v>
      </c>
      <c r="N50">
        <v>33</v>
      </c>
      <c r="O50">
        <v>33</v>
      </c>
    </row>
    <row r="51" spans="1:15" x14ac:dyDescent="0.25">
      <c r="A51">
        <v>10</v>
      </c>
      <c r="B51">
        <v>42</v>
      </c>
      <c r="C51">
        <v>24</v>
      </c>
      <c r="D51">
        <v>15</v>
      </c>
      <c r="E51">
        <v>17</v>
      </c>
      <c r="F51">
        <v>16</v>
      </c>
      <c r="G51">
        <v>23</v>
      </c>
      <c r="H51" s="2">
        <v>11</v>
      </c>
      <c r="I51">
        <v>21</v>
      </c>
      <c r="J51">
        <v>75</v>
      </c>
      <c r="K51">
        <v>48</v>
      </c>
      <c r="L51">
        <v>20</v>
      </c>
      <c r="M51">
        <v>15</v>
      </c>
      <c r="N51">
        <v>36</v>
      </c>
      <c r="O51">
        <v>36</v>
      </c>
    </row>
    <row r="52" spans="1:15" x14ac:dyDescent="0.25">
      <c r="A52">
        <v>11</v>
      </c>
      <c r="B52">
        <v>45</v>
      </c>
      <c r="C52">
        <v>26</v>
      </c>
      <c r="D52">
        <v>16</v>
      </c>
      <c r="E52">
        <v>18</v>
      </c>
      <c r="F52">
        <v>18</v>
      </c>
      <c r="G52">
        <v>25</v>
      </c>
      <c r="H52" s="2">
        <v>12</v>
      </c>
      <c r="J52">
        <v>81</v>
      </c>
      <c r="K52">
        <v>52</v>
      </c>
      <c r="L52">
        <v>21</v>
      </c>
      <c r="M52">
        <v>17</v>
      </c>
      <c r="N52">
        <v>38</v>
      </c>
      <c r="O52">
        <v>39</v>
      </c>
    </row>
    <row r="53" spans="1:15" x14ac:dyDescent="0.25">
      <c r="A53">
        <v>12</v>
      </c>
      <c r="B53">
        <v>48</v>
      </c>
      <c r="C53">
        <v>27</v>
      </c>
      <c r="D53">
        <v>17</v>
      </c>
      <c r="E53">
        <v>20</v>
      </c>
      <c r="F53">
        <v>20</v>
      </c>
      <c r="G53">
        <v>26</v>
      </c>
      <c r="H53" s="2">
        <v>13</v>
      </c>
      <c r="I53">
        <v>22</v>
      </c>
      <c r="J53">
        <v>86</v>
      </c>
      <c r="K53">
        <v>56</v>
      </c>
      <c r="L53">
        <v>23</v>
      </c>
      <c r="M53">
        <v>18</v>
      </c>
      <c r="N53">
        <v>41</v>
      </c>
      <c r="O53">
        <v>41</v>
      </c>
    </row>
    <row r="54" spans="1:15" x14ac:dyDescent="0.25">
      <c r="A54">
        <v>13</v>
      </c>
      <c r="B54">
        <v>50</v>
      </c>
      <c r="C54">
        <v>29</v>
      </c>
      <c r="D54">
        <v>18</v>
      </c>
      <c r="E54">
        <v>21</v>
      </c>
      <c r="F54">
        <v>22</v>
      </c>
      <c r="G54">
        <v>28</v>
      </c>
      <c r="H54" s="2">
        <v>14</v>
      </c>
      <c r="J54">
        <v>91</v>
      </c>
      <c r="K54">
        <v>59</v>
      </c>
      <c r="L54">
        <v>24</v>
      </c>
      <c r="M54">
        <v>19</v>
      </c>
      <c r="N54">
        <v>44</v>
      </c>
      <c r="O54">
        <v>44</v>
      </c>
    </row>
    <row r="55" spans="1:15" x14ac:dyDescent="0.25">
      <c r="A55">
        <v>14</v>
      </c>
      <c r="B55">
        <v>52</v>
      </c>
      <c r="C55">
        <v>30</v>
      </c>
      <c r="D55">
        <v>19</v>
      </c>
      <c r="E55">
        <v>22</v>
      </c>
      <c r="F55">
        <v>24</v>
      </c>
      <c r="G55">
        <v>29</v>
      </c>
      <c r="H55" s="2">
        <v>15</v>
      </c>
      <c r="I55">
        <v>23</v>
      </c>
      <c r="J55">
        <v>96</v>
      </c>
      <c r="K55">
        <v>62</v>
      </c>
      <c r="M55">
        <v>20</v>
      </c>
      <c r="N55">
        <v>47</v>
      </c>
      <c r="O55">
        <v>46</v>
      </c>
    </row>
    <row r="56" spans="1:15" x14ac:dyDescent="0.25">
      <c r="A56">
        <v>15</v>
      </c>
      <c r="B56">
        <v>55</v>
      </c>
      <c r="C56">
        <v>31</v>
      </c>
      <c r="D56">
        <v>20</v>
      </c>
      <c r="E56">
        <v>24</v>
      </c>
      <c r="F56">
        <v>25</v>
      </c>
      <c r="G56">
        <v>30</v>
      </c>
      <c r="H56" s="2">
        <v>16</v>
      </c>
      <c r="I56">
        <v>24</v>
      </c>
      <c r="J56">
        <v>101</v>
      </c>
      <c r="K56">
        <v>64</v>
      </c>
      <c r="L56">
        <v>25</v>
      </c>
      <c r="N56">
        <v>50</v>
      </c>
      <c r="O56">
        <v>48</v>
      </c>
    </row>
    <row r="57" spans="1:15" x14ac:dyDescent="0.25">
      <c r="A57">
        <v>16</v>
      </c>
      <c r="B57">
        <v>58</v>
      </c>
      <c r="C57">
        <v>32</v>
      </c>
      <c r="D57">
        <v>21</v>
      </c>
      <c r="E57">
        <v>25</v>
      </c>
      <c r="F57">
        <v>27</v>
      </c>
      <c r="G57">
        <v>31</v>
      </c>
      <c r="H57" s="2">
        <v>17</v>
      </c>
      <c r="J57">
        <v>107</v>
      </c>
      <c r="K57">
        <v>66</v>
      </c>
      <c r="L57">
        <v>26</v>
      </c>
      <c r="M57">
        <v>21</v>
      </c>
      <c r="N57">
        <v>52</v>
      </c>
      <c r="O57">
        <v>50</v>
      </c>
    </row>
    <row r="58" spans="1:15" x14ac:dyDescent="0.25">
      <c r="A58">
        <v>17</v>
      </c>
      <c r="B58">
        <v>60</v>
      </c>
      <c r="C58">
        <v>33</v>
      </c>
      <c r="D58">
        <v>22</v>
      </c>
      <c r="E58">
        <v>26</v>
      </c>
      <c r="F58">
        <v>28</v>
      </c>
      <c r="G58">
        <v>32</v>
      </c>
      <c r="H58" s="2">
        <v>18</v>
      </c>
      <c r="I58">
        <v>25</v>
      </c>
      <c r="J58">
        <v>113</v>
      </c>
      <c r="K58">
        <v>68</v>
      </c>
      <c r="M58">
        <v>22</v>
      </c>
      <c r="N58">
        <v>55</v>
      </c>
      <c r="O58">
        <v>52</v>
      </c>
    </row>
    <row r="59" spans="1:15" x14ac:dyDescent="0.25">
      <c r="A59">
        <v>18</v>
      </c>
      <c r="B59">
        <v>62</v>
      </c>
      <c r="C59">
        <v>34</v>
      </c>
      <c r="E59">
        <v>28</v>
      </c>
      <c r="G59">
        <v>33</v>
      </c>
      <c r="H59" s="2">
        <v>20</v>
      </c>
      <c r="J59">
        <v>118</v>
      </c>
      <c r="N59">
        <v>58</v>
      </c>
    </row>
    <row r="60" spans="1:15" x14ac:dyDescent="0.25">
      <c r="A60">
        <v>19</v>
      </c>
      <c r="B60">
        <v>65</v>
      </c>
      <c r="C60">
        <v>35</v>
      </c>
      <c r="E60">
        <v>30</v>
      </c>
      <c r="H60" s="2">
        <v>21</v>
      </c>
      <c r="J60">
        <v>124</v>
      </c>
      <c r="N60">
        <v>60</v>
      </c>
    </row>
    <row r="62" spans="1:15" x14ac:dyDescent="0.2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s="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2</v>
      </c>
      <c r="B63">
        <v>7</v>
      </c>
      <c r="C63">
        <v>3</v>
      </c>
      <c r="D63">
        <v>3</v>
      </c>
      <c r="E63">
        <v>3</v>
      </c>
      <c r="F63">
        <v>1</v>
      </c>
      <c r="G63">
        <v>3</v>
      </c>
      <c r="H63" s="2">
        <v>2</v>
      </c>
      <c r="I63">
        <v>4</v>
      </c>
      <c r="J63">
        <v>16</v>
      </c>
      <c r="K63">
        <v>6</v>
      </c>
      <c r="L63">
        <v>3</v>
      </c>
      <c r="M63">
        <v>2</v>
      </c>
      <c r="N63">
        <v>4</v>
      </c>
      <c r="O63">
        <v>6</v>
      </c>
    </row>
    <row r="64" spans="1:15" x14ac:dyDescent="0.25">
      <c r="A64">
        <v>3</v>
      </c>
      <c r="B64">
        <v>13</v>
      </c>
      <c r="C64">
        <v>6</v>
      </c>
      <c r="D64">
        <v>5</v>
      </c>
      <c r="E64">
        <v>5</v>
      </c>
      <c r="F64">
        <v>2</v>
      </c>
      <c r="G64">
        <v>6</v>
      </c>
      <c r="H64" s="2">
        <v>3</v>
      </c>
      <c r="I64">
        <v>7</v>
      </c>
      <c r="J64">
        <v>30</v>
      </c>
      <c r="K64">
        <v>14</v>
      </c>
      <c r="L64">
        <v>5</v>
      </c>
      <c r="M64">
        <v>4</v>
      </c>
      <c r="N64">
        <v>9</v>
      </c>
      <c r="O64">
        <v>10</v>
      </c>
    </row>
    <row r="65" spans="1:15" x14ac:dyDescent="0.25">
      <c r="A65">
        <v>4</v>
      </c>
      <c r="B65">
        <v>18</v>
      </c>
      <c r="C65">
        <v>10</v>
      </c>
      <c r="D65">
        <v>7</v>
      </c>
      <c r="E65">
        <v>7</v>
      </c>
      <c r="F65">
        <v>4</v>
      </c>
      <c r="G65">
        <v>9</v>
      </c>
      <c r="H65" s="2">
        <v>4</v>
      </c>
      <c r="I65">
        <v>10</v>
      </c>
      <c r="J65">
        <v>38</v>
      </c>
      <c r="K65">
        <v>20</v>
      </c>
      <c r="L65">
        <v>7</v>
      </c>
      <c r="M65">
        <v>6</v>
      </c>
      <c r="N65">
        <v>15</v>
      </c>
      <c r="O65">
        <v>14</v>
      </c>
    </row>
    <row r="66" spans="1:15" x14ac:dyDescent="0.25">
      <c r="A66">
        <v>5</v>
      </c>
      <c r="B66">
        <v>23</v>
      </c>
      <c r="C66">
        <v>14</v>
      </c>
      <c r="D66">
        <v>8</v>
      </c>
      <c r="E66">
        <v>10</v>
      </c>
      <c r="F66">
        <v>5</v>
      </c>
      <c r="G66">
        <v>12</v>
      </c>
      <c r="H66" s="2">
        <v>6</v>
      </c>
      <c r="I66">
        <v>13</v>
      </c>
      <c r="J66">
        <v>45</v>
      </c>
      <c r="K66">
        <v>25</v>
      </c>
      <c r="L66">
        <v>10</v>
      </c>
      <c r="M66">
        <v>8</v>
      </c>
      <c r="N66">
        <v>19</v>
      </c>
      <c r="O66">
        <v>17</v>
      </c>
    </row>
    <row r="67" spans="1:15" x14ac:dyDescent="0.25">
      <c r="A67">
        <v>6</v>
      </c>
      <c r="B67">
        <v>28</v>
      </c>
      <c r="C67">
        <v>17</v>
      </c>
      <c r="D67">
        <v>9</v>
      </c>
      <c r="E67">
        <v>12</v>
      </c>
      <c r="F67">
        <v>7</v>
      </c>
      <c r="G67">
        <v>15</v>
      </c>
      <c r="H67" s="2">
        <v>7</v>
      </c>
      <c r="I67">
        <v>15</v>
      </c>
      <c r="J67">
        <v>51</v>
      </c>
      <c r="K67">
        <v>30</v>
      </c>
      <c r="L67">
        <v>12</v>
      </c>
      <c r="M67">
        <v>9</v>
      </c>
      <c r="N67">
        <v>23</v>
      </c>
      <c r="O67">
        <v>21</v>
      </c>
    </row>
    <row r="68" spans="1:15" x14ac:dyDescent="0.25">
      <c r="A68">
        <v>7</v>
      </c>
      <c r="B68">
        <v>32</v>
      </c>
      <c r="C68">
        <v>19</v>
      </c>
      <c r="D68">
        <v>10</v>
      </c>
      <c r="E68">
        <v>13</v>
      </c>
      <c r="F68">
        <v>9</v>
      </c>
      <c r="G68">
        <v>17</v>
      </c>
      <c r="H68" s="2">
        <v>8</v>
      </c>
      <c r="I68">
        <v>17</v>
      </c>
      <c r="J68">
        <v>57</v>
      </c>
      <c r="K68">
        <v>35</v>
      </c>
      <c r="L68">
        <v>14</v>
      </c>
      <c r="M68">
        <v>11</v>
      </c>
      <c r="N68">
        <v>26</v>
      </c>
      <c r="O68">
        <v>25</v>
      </c>
    </row>
    <row r="69" spans="1:15" x14ac:dyDescent="0.25">
      <c r="A69">
        <v>8</v>
      </c>
      <c r="B69">
        <v>36</v>
      </c>
      <c r="C69">
        <v>21</v>
      </c>
      <c r="D69">
        <v>12</v>
      </c>
      <c r="E69">
        <v>15</v>
      </c>
      <c r="F69">
        <v>12</v>
      </c>
      <c r="G69">
        <v>19</v>
      </c>
      <c r="H69" s="2">
        <v>9</v>
      </c>
      <c r="I69">
        <v>19</v>
      </c>
      <c r="J69">
        <v>63</v>
      </c>
      <c r="K69">
        <v>39</v>
      </c>
      <c r="L69">
        <v>16</v>
      </c>
      <c r="M69">
        <v>12</v>
      </c>
      <c r="N69">
        <v>29</v>
      </c>
      <c r="O69">
        <v>29</v>
      </c>
    </row>
    <row r="70" spans="1:15" x14ac:dyDescent="0.25">
      <c r="A70">
        <v>9</v>
      </c>
      <c r="B70">
        <v>39</v>
      </c>
      <c r="C70">
        <v>23</v>
      </c>
      <c r="D70">
        <v>13</v>
      </c>
      <c r="E70">
        <v>16</v>
      </c>
      <c r="F70">
        <v>14</v>
      </c>
      <c r="G70">
        <v>21</v>
      </c>
      <c r="H70" s="2">
        <v>10</v>
      </c>
      <c r="I70">
        <v>20</v>
      </c>
      <c r="J70">
        <v>68</v>
      </c>
      <c r="K70">
        <v>43</v>
      </c>
      <c r="L70">
        <v>18</v>
      </c>
      <c r="M70">
        <v>13</v>
      </c>
      <c r="N70">
        <v>32</v>
      </c>
      <c r="O70">
        <v>33</v>
      </c>
    </row>
    <row r="71" spans="1:15" x14ac:dyDescent="0.25">
      <c r="A71">
        <v>10</v>
      </c>
      <c r="B71">
        <v>42</v>
      </c>
      <c r="C71">
        <v>25</v>
      </c>
      <c r="D71">
        <v>15</v>
      </c>
      <c r="E71">
        <v>17</v>
      </c>
      <c r="F71">
        <v>16</v>
      </c>
      <c r="G71">
        <v>23</v>
      </c>
      <c r="H71" s="2">
        <v>11</v>
      </c>
      <c r="I71">
        <v>21</v>
      </c>
      <c r="J71">
        <v>74</v>
      </c>
      <c r="K71">
        <v>48</v>
      </c>
      <c r="L71">
        <v>20</v>
      </c>
      <c r="M71">
        <v>14</v>
      </c>
      <c r="N71">
        <v>34</v>
      </c>
      <c r="O71">
        <v>36</v>
      </c>
    </row>
    <row r="72" spans="1:15" x14ac:dyDescent="0.25">
      <c r="A72">
        <v>11</v>
      </c>
      <c r="B72">
        <v>45</v>
      </c>
      <c r="C72">
        <v>26</v>
      </c>
      <c r="D72">
        <v>16</v>
      </c>
      <c r="E72">
        <v>18</v>
      </c>
      <c r="F72">
        <v>18</v>
      </c>
      <c r="G72">
        <v>25</v>
      </c>
      <c r="H72" s="2">
        <v>12</v>
      </c>
      <c r="J72">
        <v>79</v>
      </c>
      <c r="K72">
        <v>52</v>
      </c>
      <c r="L72">
        <v>21</v>
      </c>
      <c r="M72">
        <v>16</v>
      </c>
      <c r="N72">
        <v>37</v>
      </c>
      <c r="O72">
        <v>39</v>
      </c>
    </row>
    <row r="73" spans="1:15" x14ac:dyDescent="0.25">
      <c r="A73">
        <v>12</v>
      </c>
      <c r="B73">
        <v>48</v>
      </c>
      <c r="C73">
        <v>28</v>
      </c>
      <c r="D73">
        <v>17</v>
      </c>
      <c r="E73">
        <v>20</v>
      </c>
      <c r="F73">
        <v>20</v>
      </c>
      <c r="G73">
        <v>26</v>
      </c>
      <c r="H73" s="2">
        <v>13</v>
      </c>
      <c r="I73">
        <v>22</v>
      </c>
      <c r="J73">
        <v>84</v>
      </c>
      <c r="K73">
        <v>56</v>
      </c>
      <c r="L73">
        <v>22</v>
      </c>
      <c r="M73">
        <v>18</v>
      </c>
      <c r="N73">
        <v>40</v>
      </c>
      <c r="O73">
        <v>41</v>
      </c>
    </row>
    <row r="74" spans="1:15" x14ac:dyDescent="0.25">
      <c r="A74">
        <v>13</v>
      </c>
      <c r="B74">
        <v>51</v>
      </c>
      <c r="C74">
        <v>29</v>
      </c>
      <c r="D74">
        <v>18</v>
      </c>
      <c r="E74">
        <v>21</v>
      </c>
      <c r="F74">
        <v>22</v>
      </c>
      <c r="G74">
        <v>28</v>
      </c>
      <c r="H74" s="2">
        <v>14</v>
      </c>
      <c r="J74">
        <v>89</v>
      </c>
      <c r="K74">
        <v>59</v>
      </c>
      <c r="L74">
        <v>23</v>
      </c>
      <c r="M74">
        <v>19</v>
      </c>
      <c r="N74">
        <v>42</v>
      </c>
      <c r="O74">
        <v>44</v>
      </c>
    </row>
    <row r="75" spans="1:15" x14ac:dyDescent="0.25">
      <c r="A75">
        <v>14</v>
      </c>
      <c r="B75">
        <v>54</v>
      </c>
      <c r="C75">
        <v>30</v>
      </c>
      <c r="D75">
        <v>19</v>
      </c>
      <c r="E75">
        <v>22</v>
      </c>
      <c r="F75">
        <v>24</v>
      </c>
      <c r="G75">
        <v>29</v>
      </c>
      <c r="H75" s="2">
        <v>15</v>
      </c>
      <c r="I75">
        <v>23</v>
      </c>
      <c r="J75">
        <v>94</v>
      </c>
      <c r="K75">
        <v>62</v>
      </c>
      <c r="L75">
        <v>24</v>
      </c>
      <c r="M75">
        <v>20</v>
      </c>
      <c r="N75">
        <v>45</v>
      </c>
      <c r="O75">
        <v>46</v>
      </c>
    </row>
    <row r="76" spans="1:15" x14ac:dyDescent="0.25">
      <c r="A76">
        <v>15</v>
      </c>
      <c r="B76">
        <v>56</v>
      </c>
      <c r="C76">
        <v>31</v>
      </c>
      <c r="D76">
        <v>20</v>
      </c>
      <c r="E76">
        <v>24</v>
      </c>
      <c r="F76">
        <v>26</v>
      </c>
      <c r="G76">
        <v>30</v>
      </c>
      <c r="H76" s="2">
        <v>16</v>
      </c>
      <c r="I76">
        <v>24</v>
      </c>
      <c r="J76">
        <v>99</v>
      </c>
      <c r="K76">
        <v>64</v>
      </c>
      <c r="L76">
        <v>25</v>
      </c>
      <c r="N76">
        <v>48</v>
      </c>
      <c r="O76">
        <v>48</v>
      </c>
    </row>
    <row r="77" spans="1:15" x14ac:dyDescent="0.25">
      <c r="A77">
        <v>16</v>
      </c>
      <c r="B77">
        <v>58</v>
      </c>
      <c r="C77">
        <v>32</v>
      </c>
      <c r="D77">
        <v>21</v>
      </c>
      <c r="E77">
        <v>25</v>
      </c>
      <c r="F77">
        <v>27</v>
      </c>
      <c r="G77">
        <v>31</v>
      </c>
      <c r="H77" s="2">
        <v>17</v>
      </c>
      <c r="J77">
        <v>105</v>
      </c>
      <c r="K77">
        <v>66</v>
      </c>
      <c r="L77">
        <v>26</v>
      </c>
      <c r="M77">
        <v>21</v>
      </c>
      <c r="N77">
        <v>51</v>
      </c>
      <c r="O77">
        <v>50</v>
      </c>
    </row>
    <row r="78" spans="1:15" x14ac:dyDescent="0.25">
      <c r="A78">
        <v>17</v>
      </c>
      <c r="B78">
        <v>61</v>
      </c>
      <c r="C78">
        <v>33</v>
      </c>
      <c r="D78">
        <v>22</v>
      </c>
      <c r="E78">
        <v>26</v>
      </c>
      <c r="F78">
        <v>28</v>
      </c>
      <c r="G78">
        <v>32</v>
      </c>
      <c r="H78" s="2">
        <v>18</v>
      </c>
      <c r="I78">
        <v>25</v>
      </c>
      <c r="J78">
        <v>111</v>
      </c>
      <c r="K78">
        <v>68</v>
      </c>
      <c r="M78">
        <v>22</v>
      </c>
      <c r="N78">
        <v>54</v>
      </c>
      <c r="O78">
        <v>52</v>
      </c>
    </row>
    <row r="79" spans="1:15" x14ac:dyDescent="0.25">
      <c r="A79">
        <v>18</v>
      </c>
      <c r="B79">
        <v>63</v>
      </c>
      <c r="C79">
        <v>34</v>
      </c>
      <c r="E79">
        <v>28</v>
      </c>
      <c r="G79">
        <v>33</v>
      </c>
      <c r="H79" s="2">
        <v>19</v>
      </c>
      <c r="J79">
        <v>117</v>
      </c>
      <c r="N79">
        <v>56</v>
      </c>
    </row>
    <row r="80" spans="1:15" x14ac:dyDescent="0.25">
      <c r="A80">
        <v>19</v>
      </c>
      <c r="B80">
        <v>65</v>
      </c>
      <c r="C80">
        <v>35</v>
      </c>
      <c r="E80">
        <v>29</v>
      </c>
      <c r="H80" s="2">
        <v>20</v>
      </c>
      <c r="J80">
        <v>122</v>
      </c>
      <c r="N80">
        <v>58</v>
      </c>
    </row>
    <row r="82" spans="1:15" x14ac:dyDescent="0.25">
      <c r="A82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s="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2</v>
      </c>
      <c r="B83">
        <v>8</v>
      </c>
      <c r="C83">
        <v>3</v>
      </c>
      <c r="D83">
        <v>3</v>
      </c>
      <c r="E83">
        <v>3</v>
      </c>
      <c r="F83">
        <v>1</v>
      </c>
      <c r="G83">
        <v>3</v>
      </c>
      <c r="H83" s="2">
        <v>2</v>
      </c>
      <c r="I83">
        <v>3</v>
      </c>
      <c r="J83">
        <v>13</v>
      </c>
      <c r="K83">
        <v>5</v>
      </c>
      <c r="L83">
        <v>2</v>
      </c>
      <c r="M83">
        <v>2</v>
      </c>
      <c r="N83">
        <v>4</v>
      </c>
      <c r="O83">
        <v>6</v>
      </c>
    </row>
    <row r="84" spans="1:15" x14ac:dyDescent="0.25">
      <c r="A84">
        <v>3</v>
      </c>
      <c r="B84">
        <v>14</v>
      </c>
      <c r="C84">
        <v>6</v>
      </c>
      <c r="D84">
        <v>5</v>
      </c>
      <c r="E84">
        <v>5</v>
      </c>
      <c r="F84">
        <v>2</v>
      </c>
      <c r="G84">
        <v>6</v>
      </c>
      <c r="H84" s="2">
        <v>3</v>
      </c>
      <c r="I84">
        <v>6</v>
      </c>
      <c r="J84">
        <v>26</v>
      </c>
      <c r="K84">
        <v>13</v>
      </c>
      <c r="L84">
        <v>4</v>
      </c>
      <c r="M84">
        <v>4</v>
      </c>
      <c r="N84">
        <v>9</v>
      </c>
      <c r="O84">
        <v>10</v>
      </c>
    </row>
    <row r="85" spans="1:15" x14ac:dyDescent="0.25">
      <c r="A85">
        <v>4</v>
      </c>
      <c r="B85">
        <v>19</v>
      </c>
      <c r="C85">
        <v>10</v>
      </c>
      <c r="D85">
        <v>7</v>
      </c>
      <c r="E85">
        <v>7</v>
      </c>
      <c r="F85">
        <v>4</v>
      </c>
      <c r="G85">
        <v>9</v>
      </c>
      <c r="H85" s="2">
        <v>4</v>
      </c>
      <c r="I85">
        <v>9</v>
      </c>
      <c r="J85">
        <v>35</v>
      </c>
      <c r="K85">
        <v>19</v>
      </c>
      <c r="L85">
        <v>6</v>
      </c>
      <c r="M85">
        <v>5</v>
      </c>
      <c r="N85">
        <v>14</v>
      </c>
      <c r="O85">
        <v>13</v>
      </c>
    </row>
    <row r="86" spans="1:15" x14ac:dyDescent="0.25">
      <c r="A86">
        <v>5</v>
      </c>
      <c r="B86">
        <v>24</v>
      </c>
      <c r="C86">
        <v>14</v>
      </c>
      <c r="D86">
        <v>8</v>
      </c>
      <c r="E86">
        <v>10</v>
      </c>
      <c r="F86">
        <v>6</v>
      </c>
      <c r="G86">
        <v>12</v>
      </c>
      <c r="H86" s="2">
        <v>6</v>
      </c>
      <c r="I86">
        <v>13</v>
      </c>
      <c r="J86">
        <v>43</v>
      </c>
      <c r="K86">
        <v>25</v>
      </c>
      <c r="L86">
        <v>9</v>
      </c>
      <c r="M86">
        <v>7</v>
      </c>
      <c r="N86">
        <v>18</v>
      </c>
      <c r="O86">
        <v>17</v>
      </c>
    </row>
    <row r="87" spans="1:15" x14ac:dyDescent="0.25">
      <c r="A87">
        <v>6</v>
      </c>
      <c r="B87">
        <v>29</v>
      </c>
      <c r="C87">
        <v>17</v>
      </c>
      <c r="D87">
        <v>9</v>
      </c>
      <c r="E87">
        <v>12</v>
      </c>
      <c r="F87">
        <v>8</v>
      </c>
      <c r="G87">
        <v>15</v>
      </c>
      <c r="H87" s="2">
        <v>7</v>
      </c>
      <c r="I87">
        <v>15</v>
      </c>
      <c r="J87">
        <v>49</v>
      </c>
      <c r="K87">
        <v>30</v>
      </c>
      <c r="L87">
        <v>11</v>
      </c>
      <c r="M87">
        <v>8</v>
      </c>
      <c r="N87">
        <v>22</v>
      </c>
      <c r="O87">
        <v>20</v>
      </c>
    </row>
    <row r="88" spans="1:15" x14ac:dyDescent="0.25">
      <c r="A88">
        <v>7</v>
      </c>
      <c r="B88">
        <v>33</v>
      </c>
      <c r="C88">
        <v>19</v>
      </c>
      <c r="D88">
        <v>10</v>
      </c>
      <c r="E88">
        <v>13</v>
      </c>
      <c r="F88">
        <v>10</v>
      </c>
      <c r="G88">
        <v>17</v>
      </c>
      <c r="H88" s="2">
        <v>8</v>
      </c>
      <c r="I88">
        <v>17</v>
      </c>
      <c r="J88">
        <v>55</v>
      </c>
      <c r="K88">
        <v>34</v>
      </c>
      <c r="L88">
        <v>14</v>
      </c>
      <c r="M88">
        <v>10</v>
      </c>
      <c r="N88">
        <v>25</v>
      </c>
      <c r="O88">
        <v>24</v>
      </c>
    </row>
    <row r="89" spans="1:15" x14ac:dyDescent="0.25">
      <c r="A89">
        <v>8</v>
      </c>
      <c r="B89">
        <v>37</v>
      </c>
      <c r="C89">
        <v>21</v>
      </c>
      <c r="D89">
        <v>12</v>
      </c>
      <c r="E89">
        <v>14</v>
      </c>
      <c r="F89">
        <v>12</v>
      </c>
      <c r="G89">
        <v>19</v>
      </c>
      <c r="H89" s="2">
        <v>9</v>
      </c>
      <c r="I89">
        <v>18</v>
      </c>
      <c r="J89">
        <v>61</v>
      </c>
      <c r="K89">
        <v>38</v>
      </c>
      <c r="L89">
        <v>16</v>
      </c>
      <c r="M89">
        <v>12</v>
      </c>
      <c r="N89">
        <v>28</v>
      </c>
      <c r="O89">
        <v>28</v>
      </c>
    </row>
    <row r="90" spans="1:15" x14ac:dyDescent="0.25">
      <c r="A90">
        <v>9</v>
      </c>
      <c r="B90">
        <v>40</v>
      </c>
      <c r="C90">
        <v>23</v>
      </c>
      <c r="D90">
        <v>13</v>
      </c>
      <c r="E90">
        <v>16</v>
      </c>
      <c r="F90">
        <v>14</v>
      </c>
      <c r="G90">
        <v>21</v>
      </c>
      <c r="H90" s="2">
        <v>10</v>
      </c>
      <c r="I90">
        <v>20</v>
      </c>
      <c r="J90">
        <v>66</v>
      </c>
      <c r="K90">
        <v>43</v>
      </c>
      <c r="L90">
        <v>18</v>
      </c>
      <c r="M90">
        <v>13</v>
      </c>
      <c r="N90">
        <v>30</v>
      </c>
      <c r="O90">
        <v>32</v>
      </c>
    </row>
    <row r="91" spans="1:15" x14ac:dyDescent="0.25">
      <c r="A91">
        <v>10</v>
      </c>
      <c r="B91">
        <v>43</v>
      </c>
      <c r="C91">
        <v>25</v>
      </c>
      <c r="D91">
        <v>14</v>
      </c>
      <c r="E91">
        <v>17</v>
      </c>
      <c r="F91">
        <v>17</v>
      </c>
      <c r="G91">
        <v>23</v>
      </c>
      <c r="H91" s="2">
        <v>11</v>
      </c>
      <c r="I91">
        <v>21</v>
      </c>
      <c r="J91">
        <v>71</v>
      </c>
      <c r="K91">
        <v>47</v>
      </c>
      <c r="L91">
        <v>20</v>
      </c>
      <c r="M91">
        <v>14</v>
      </c>
      <c r="N91">
        <v>31</v>
      </c>
      <c r="O91">
        <v>35</v>
      </c>
    </row>
    <row r="92" spans="1:15" x14ac:dyDescent="0.25">
      <c r="A92">
        <v>11</v>
      </c>
      <c r="B92">
        <v>46</v>
      </c>
      <c r="C92">
        <v>26</v>
      </c>
      <c r="D92">
        <v>16</v>
      </c>
      <c r="E92">
        <v>18</v>
      </c>
      <c r="F92">
        <v>19</v>
      </c>
      <c r="G92">
        <v>25</v>
      </c>
      <c r="H92" s="2">
        <v>12</v>
      </c>
      <c r="J92">
        <v>76</v>
      </c>
      <c r="K92">
        <v>51</v>
      </c>
      <c r="L92">
        <v>21</v>
      </c>
      <c r="M92">
        <v>16</v>
      </c>
      <c r="N92">
        <v>35</v>
      </c>
      <c r="O92">
        <v>38</v>
      </c>
    </row>
    <row r="93" spans="1:15" x14ac:dyDescent="0.25">
      <c r="A93">
        <v>12</v>
      </c>
      <c r="B93">
        <v>49</v>
      </c>
      <c r="C93">
        <v>28</v>
      </c>
      <c r="D93">
        <v>17</v>
      </c>
      <c r="E93">
        <v>19</v>
      </c>
      <c r="F93">
        <v>21</v>
      </c>
      <c r="G93">
        <v>26</v>
      </c>
      <c r="H93" s="2">
        <v>13</v>
      </c>
      <c r="I93">
        <v>22</v>
      </c>
      <c r="J93">
        <v>80</v>
      </c>
      <c r="K93">
        <v>55</v>
      </c>
      <c r="L93">
        <v>22</v>
      </c>
      <c r="M93">
        <v>18</v>
      </c>
      <c r="N93">
        <v>37</v>
      </c>
      <c r="O93">
        <v>40</v>
      </c>
    </row>
    <row r="94" spans="1:15" x14ac:dyDescent="0.25">
      <c r="A94">
        <v>13</v>
      </c>
      <c r="B94">
        <v>52</v>
      </c>
      <c r="C94">
        <v>29</v>
      </c>
      <c r="D94">
        <v>18</v>
      </c>
      <c r="E94">
        <v>21</v>
      </c>
      <c r="F94">
        <v>23</v>
      </c>
      <c r="G94">
        <v>28</v>
      </c>
      <c r="H94" s="2">
        <v>14</v>
      </c>
      <c r="J94">
        <v>86</v>
      </c>
      <c r="K94">
        <v>59</v>
      </c>
      <c r="L94">
        <v>23</v>
      </c>
      <c r="M94">
        <v>19</v>
      </c>
      <c r="N94">
        <v>40</v>
      </c>
      <c r="O94">
        <v>43</v>
      </c>
    </row>
    <row r="95" spans="1:15" x14ac:dyDescent="0.25">
      <c r="A95">
        <v>14</v>
      </c>
      <c r="B95">
        <v>54</v>
      </c>
      <c r="C95">
        <v>30</v>
      </c>
      <c r="D95">
        <v>19</v>
      </c>
      <c r="E95">
        <v>22</v>
      </c>
      <c r="F95">
        <v>24</v>
      </c>
      <c r="G95">
        <v>29</v>
      </c>
      <c r="H95" s="2">
        <v>15</v>
      </c>
      <c r="I95">
        <v>23</v>
      </c>
      <c r="J95">
        <v>91</v>
      </c>
      <c r="K95">
        <v>62</v>
      </c>
      <c r="L95">
        <v>24</v>
      </c>
      <c r="M95">
        <v>20</v>
      </c>
      <c r="N95">
        <v>43</v>
      </c>
      <c r="O95">
        <v>45</v>
      </c>
    </row>
    <row r="96" spans="1:15" x14ac:dyDescent="0.25">
      <c r="A96">
        <v>15</v>
      </c>
      <c r="B96">
        <v>56</v>
      </c>
      <c r="C96">
        <v>31</v>
      </c>
      <c r="D96">
        <v>20</v>
      </c>
      <c r="E96">
        <v>24</v>
      </c>
      <c r="F96">
        <v>26</v>
      </c>
      <c r="G96">
        <v>30</v>
      </c>
      <c r="H96" s="2">
        <v>16</v>
      </c>
      <c r="I96">
        <v>24</v>
      </c>
      <c r="J96">
        <v>96</v>
      </c>
      <c r="K96">
        <v>64</v>
      </c>
      <c r="N96">
        <v>46</v>
      </c>
      <c r="O96">
        <v>48</v>
      </c>
    </row>
    <row r="97" spans="1:15" x14ac:dyDescent="0.25">
      <c r="A97">
        <v>16</v>
      </c>
      <c r="B97">
        <v>58</v>
      </c>
      <c r="C97">
        <v>32</v>
      </c>
      <c r="D97">
        <v>21</v>
      </c>
      <c r="E97">
        <v>25</v>
      </c>
      <c r="F97">
        <v>27</v>
      </c>
      <c r="G97">
        <v>31</v>
      </c>
      <c r="H97" s="2">
        <v>17</v>
      </c>
      <c r="J97">
        <v>101</v>
      </c>
      <c r="K97">
        <v>66</v>
      </c>
      <c r="L97">
        <v>25</v>
      </c>
      <c r="M97">
        <v>21</v>
      </c>
      <c r="N97">
        <v>48</v>
      </c>
      <c r="O97">
        <v>50</v>
      </c>
    </row>
    <row r="98" spans="1:15" x14ac:dyDescent="0.25">
      <c r="A98">
        <v>17</v>
      </c>
      <c r="B98">
        <v>61</v>
      </c>
      <c r="C98">
        <v>33</v>
      </c>
      <c r="D98">
        <v>22</v>
      </c>
      <c r="E98">
        <v>26</v>
      </c>
      <c r="F98">
        <v>28</v>
      </c>
      <c r="G98">
        <v>32</v>
      </c>
      <c r="H98" s="2">
        <v>18</v>
      </c>
      <c r="I98">
        <v>25</v>
      </c>
      <c r="J98">
        <v>108</v>
      </c>
      <c r="K98">
        <v>67</v>
      </c>
      <c r="L98">
        <v>26</v>
      </c>
      <c r="M98">
        <v>22</v>
      </c>
      <c r="N98">
        <v>51</v>
      </c>
      <c r="O98">
        <v>52</v>
      </c>
    </row>
    <row r="99" spans="1:15" x14ac:dyDescent="0.25">
      <c r="A99">
        <v>18</v>
      </c>
      <c r="B99">
        <v>64</v>
      </c>
      <c r="C99">
        <v>34</v>
      </c>
      <c r="E99">
        <v>28</v>
      </c>
      <c r="G99">
        <v>33</v>
      </c>
      <c r="H99" s="2">
        <v>19</v>
      </c>
      <c r="J99">
        <v>115</v>
      </c>
      <c r="K99">
        <v>68</v>
      </c>
      <c r="N99">
        <v>54</v>
      </c>
    </row>
    <row r="100" spans="1:15" x14ac:dyDescent="0.25">
      <c r="A100">
        <v>19</v>
      </c>
      <c r="B100">
        <v>66</v>
      </c>
      <c r="C100">
        <v>35</v>
      </c>
      <c r="E100">
        <v>29</v>
      </c>
      <c r="H100" s="2">
        <v>20</v>
      </c>
      <c r="J100">
        <v>121</v>
      </c>
      <c r="N100">
        <v>57</v>
      </c>
    </row>
    <row r="102" spans="1:15" x14ac:dyDescent="0.2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s="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2</v>
      </c>
      <c r="B103">
        <v>8</v>
      </c>
      <c r="C103">
        <v>3</v>
      </c>
      <c r="D103">
        <v>3</v>
      </c>
      <c r="E103">
        <v>3</v>
      </c>
      <c r="F103">
        <v>1</v>
      </c>
      <c r="G103">
        <v>3</v>
      </c>
      <c r="H103" s="2">
        <v>2</v>
      </c>
      <c r="I103">
        <v>2</v>
      </c>
      <c r="J103">
        <v>11</v>
      </c>
      <c r="K103">
        <v>4</v>
      </c>
      <c r="L103">
        <v>1</v>
      </c>
      <c r="M103">
        <v>2</v>
      </c>
      <c r="N103">
        <v>4</v>
      </c>
      <c r="O103">
        <v>4</v>
      </c>
    </row>
    <row r="104" spans="1:15" x14ac:dyDescent="0.25">
      <c r="A104">
        <v>3</v>
      </c>
      <c r="B104">
        <v>15</v>
      </c>
      <c r="C104">
        <v>6</v>
      </c>
      <c r="D104">
        <v>5</v>
      </c>
      <c r="E104">
        <v>5</v>
      </c>
      <c r="F104">
        <v>3</v>
      </c>
      <c r="G104">
        <v>6</v>
      </c>
      <c r="H104" s="2">
        <v>3</v>
      </c>
      <c r="I104">
        <v>5</v>
      </c>
      <c r="J104">
        <v>23</v>
      </c>
      <c r="K104">
        <v>12</v>
      </c>
      <c r="L104">
        <v>3</v>
      </c>
      <c r="M104">
        <v>3</v>
      </c>
      <c r="N104">
        <v>8</v>
      </c>
      <c r="O104">
        <v>8</v>
      </c>
    </row>
    <row r="105" spans="1:15" x14ac:dyDescent="0.25">
      <c r="A105">
        <v>4</v>
      </c>
      <c r="B105">
        <v>20</v>
      </c>
      <c r="C105">
        <v>10</v>
      </c>
      <c r="D105">
        <v>7</v>
      </c>
      <c r="E105">
        <v>7</v>
      </c>
      <c r="F105">
        <v>5</v>
      </c>
      <c r="G105">
        <v>9</v>
      </c>
      <c r="H105" s="2">
        <v>4</v>
      </c>
      <c r="I105">
        <v>8</v>
      </c>
      <c r="J105">
        <v>32</v>
      </c>
      <c r="K105">
        <v>18</v>
      </c>
      <c r="L105">
        <v>6</v>
      </c>
      <c r="M105">
        <v>5</v>
      </c>
      <c r="N105">
        <v>12</v>
      </c>
      <c r="O105">
        <v>12</v>
      </c>
    </row>
    <row r="106" spans="1:15" x14ac:dyDescent="0.25">
      <c r="A106">
        <v>5</v>
      </c>
      <c r="B106">
        <v>25</v>
      </c>
      <c r="C106">
        <v>14</v>
      </c>
      <c r="D106">
        <v>8</v>
      </c>
      <c r="E106">
        <v>10</v>
      </c>
      <c r="F106">
        <v>7</v>
      </c>
      <c r="G106">
        <v>12</v>
      </c>
      <c r="H106" s="2">
        <v>5</v>
      </c>
      <c r="I106">
        <v>12</v>
      </c>
      <c r="J106">
        <v>39</v>
      </c>
      <c r="K106">
        <v>23</v>
      </c>
      <c r="L106">
        <v>8</v>
      </c>
      <c r="M106">
        <v>6</v>
      </c>
      <c r="N106">
        <v>16</v>
      </c>
      <c r="O106">
        <v>16</v>
      </c>
    </row>
    <row r="107" spans="1:15" x14ac:dyDescent="0.25">
      <c r="A107">
        <v>6</v>
      </c>
      <c r="B107">
        <v>30</v>
      </c>
      <c r="C107">
        <v>17</v>
      </c>
      <c r="D107">
        <v>9</v>
      </c>
      <c r="E107">
        <v>12</v>
      </c>
      <c r="F107">
        <v>9</v>
      </c>
      <c r="G107">
        <v>15</v>
      </c>
      <c r="H107" s="2">
        <v>6</v>
      </c>
      <c r="I107">
        <v>15</v>
      </c>
      <c r="J107">
        <v>44</v>
      </c>
      <c r="K107">
        <v>28</v>
      </c>
      <c r="L107">
        <v>11</v>
      </c>
      <c r="M107">
        <v>7</v>
      </c>
      <c r="N107">
        <v>19</v>
      </c>
      <c r="O107">
        <v>20</v>
      </c>
    </row>
    <row r="108" spans="1:15" x14ac:dyDescent="0.25">
      <c r="A108">
        <v>7</v>
      </c>
      <c r="B108">
        <v>34</v>
      </c>
      <c r="C108">
        <v>20</v>
      </c>
      <c r="D108">
        <v>10</v>
      </c>
      <c r="E108">
        <v>13</v>
      </c>
      <c r="F108">
        <v>11</v>
      </c>
      <c r="G108">
        <v>17</v>
      </c>
      <c r="H108" s="2">
        <v>7</v>
      </c>
      <c r="I108">
        <v>17</v>
      </c>
      <c r="J108">
        <v>50</v>
      </c>
      <c r="K108">
        <v>32</v>
      </c>
      <c r="L108">
        <v>13</v>
      </c>
      <c r="M108">
        <v>8</v>
      </c>
      <c r="N108">
        <v>22</v>
      </c>
      <c r="O108">
        <v>24</v>
      </c>
    </row>
    <row r="109" spans="1:15" x14ac:dyDescent="0.25">
      <c r="A109">
        <v>8</v>
      </c>
      <c r="B109">
        <v>37</v>
      </c>
      <c r="C109">
        <v>22</v>
      </c>
      <c r="D109">
        <v>12</v>
      </c>
      <c r="E109">
        <v>14</v>
      </c>
      <c r="F109">
        <v>13</v>
      </c>
      <c r="G109">
        <v>19</v>
      </c>
      <c r="H109" s="2">
        <v>8</v>
      </c>
      <c r="I109">
        <v>18</v>
      </c>
      <c r="J109">
        <v>56</v>
      </c>
      <c r="K109">
        <v>37</v>
      </c>
      <c r="L109">
        <v>15</v>
      </c>
      <c r="M109">
        <v>10</v>
      </c>
      <c r="N109">
        <v>25</v>
      </c>
      <c r="O109">
        <v>27</v>
      </c>
    </row>
    <row r="110" spans="1:15" x14ac:dyDescent="0.25">
      <c r="A110">
        <v>9</v>
      </c>
      <c r="B110">
        <v>41</v>
      </c>
      <c r="C110">
        <v>24</v>
      </c>
      <c r="D110">
        <v>13</v>
      </c>
      <c r="E110">
        <v>15</v>
      </c>
      <c r="F110">
        <v>15</v>
      </c>
      <c r="G110">
        <v>21</v>
      </c>
      <c r="H110" s="2">
        <v>9</v>
      </c>
      <c r="I110">
        <v>19</v>
      </c>
      <c r="J110">
        <v>61</v>
      </c>
      <c r="K110">
        <v>41</v>
      </c>
      <c r="L110">
        <v>17</v>
      </c>
      <c r="M110">
        <v>12</v>
      </c>
      <c r="N110">
        <v>28</v>
      </c>
      <c r="O110">
        <v>30</v>
      </c>
    </row>
    <row r="111" spans="1:15" x14ac:dyDescent="0.25">
      <c r="A111">
        <v>10</v>
      </c>
      <c r="B111">
        <v>44</v>
      </c>
      <c r="C111">
        <v>25</v>
      </c>
      <c r="D111">
        <v>14</v>
      </c>
      <c r="E111">
        <v>16</v>
      </c>
      <c r="F111">
        <v>17</v>
      </c>
      <c r="G111">
        <v>23</v>
      </c>
      <c r="H111" s="2">
        <v>10</v>
      </c>
      <c r="I111">
        <v>20</v>
      </c>
      <c r="J111">
        <v>66</v>
      </c>
      <c r="K111">
        <v>45</v>
      </c>
      <c r="L111">
        <v>19</v>
      </c>
      <c r="M111">
        <v>13</v>
      </c>
      <c r="N111">
        <v>30</v>
      </c>
      <c r="O111">
        <v>33</v>
      </c>
    </row>
    <row r="112" spans="1:15" x14ac:dyDescent="0.25">
      <c r="A112">
        <v>11</v>
      </c>
      <c r="B112">
        <v>47</v>
      </c>
      <c r="C112">
        <v>27</v>
      </c>
      <c r="D112">
        <v>16</v>
      </c>
      <c r="E112">
        <v>18</v>
      </c>
      <c r="F112">
        <v>19</v>
      </c>
      <c r="G112">
        <v>25</v>
      </c>
      <c r="H112" s="2">
        <v>11</v>
      </c>
      <c r="I112">
        <v>21</v>
      </c>
      <c r="J112">
        <v>71</v>
      </c>
      <c r="K112">
        <v>50</v>
      </c>
      <c r="L112">
        <v>20</v>
      </c>
      <c r="M112">
        <v>14</v>
      </c>
      <c r="N112">
        <v>33</v>
      </c>
      <c r="O112">
        <v>36</v>
      </c>
    </row>
    <row r="113" spans="1:15" x14ac:dyDescent="0.25">
      <c r="A113">
        <v>12</v>
      </c>
      <c r="B113">
        <v>50</v>
      </c>
      <c r="C113">
        <v>28</v>
      </c>
      <c r="D113">
        <v>17</v>
      </c>
      <c r="E113">
        <v>19</v>
      </c>
      <c r="F113">
        <v>21</v>
      </c>
      <c r="G113">
        <v>26</v>
      </c>
      <c r="H113" s="2">
        <v>12</v>
      </c>
      <c r="I113">
        <v>22</v>
      </c>
      <c r="J113">
        <v>76</v>
      </c>
      <c r="K113">
        <v>53</v>
      </c>
      <c r="L113">
        <v>22</v>
      </c>
      <c r="M113">
        <v>16</v>
      </c>
      <c r="N113">
        <v>35</v>
      </c>
      <c r="O113">
        <v>38</v>
      </c>
    </row>
    <row r="114" spans="1:15" x14ac:dyDescent="0.25">
      <c r="A114">
        <v>13</v>
      </c>
      <c r="B114">
        <v>52</v>
      </c>
      <c r="C114">
        <v>29</v>
      </c>
      <c r="D114">
        <v>18</v>
      </c>
      <c r="E114">
        <v>20</v>
      </c>
      <c r="F114">
        <v>23</v>
      </c>
      <c r="G114">
        <v>28</v>
      </c>
      <c r="H114" s="2">
        <v>13</v>
      </c>
      <c r="J114">
        <v>80</v>
      </c>
      <c r="K114">
        <v>56</v>
      </c>
      <c r="L114">
        <v>23</v>
      </c>
      <c r="M114">
        <v>18</v>
      </c>
      <c r="N114">
        <v>37</v>
      </c>
      <c r="O114">
        <v>41</v>
      </c>
    </row>
    <row r="115" spans="1:15" x14ac:dyDescent="0.25">
      <c r="A115">
        <v>14</v>
      </c>
      <c r="B115">
        <v>55</v>
      </c>
      <c r="C115">
        <v>30</v>
      </c>
      <c r="D115">
        <v>19</v>
      </c>
      <c r="E115">
        <v>22</v>
      </c>
      <c r="F115">
        <v>25</v>
      </c>
      <c r="G115">
        <v>29</v>
      </c>
      <c r="H115" s="2">
        <v>14</v>
      </c>
      <c r="I115">
        <v>23</v>
      </c>
      <c r="J115">
        <v>86</v>
      </c>
      <c r="K115">
        <v>59</v>
      </c>
      <c r="L115">
        <v>24</v>
      </c>
      <c r="M115">
        <v>19</v>
      </c>
      <c r="N115">
        <v>40</v>
      </c>
      <c r="O115">
        <v>43</v>
      </c>
    </row>
    <row r="116" spans="1:15" x14ac:dyDescent="0.25">
      <c r="A116">
        <v>15</v>
      </c>
      <c r="B116">
        <v>57</v>
      </c>
      <c r="C116">
        <v>31</v>
      </c>
      <c r="D116">
        <v>20</v>
      </c>
      <c r="E116">
        <v>23</v>
      </c>
      <c r="F116">
        <v>26</v>
      </c>
      <c r="G116">
        <v>30</v>
      </c>
      <c r="H116" s="2">
        <v>15</v>
      </c>
      <c r="I116">
        <v>24</v>
      </c>
      <c r="J116">
        <v>91</v>
      </c>
      <c r="K116">
        <v>62</v>
      </c>
      <c r="M116">
        <v>20</v>
      </c>
      <c r="N116">
        <v>43</v>
      </c>
      <c r="O116">
        <v>45</v>
      </c>
    </row>
    <row r="117" spans="1:15" x14ac:dyDescent="0.25">
      <c r="A117">
        <v>16</v>
      </c>
      <c r="B117">
        <v>60</v>
      </c>
      <c r="C117">
        <v>32</v>
      </c>
      <c r="D117">
        <v>21</v>
      </c>
      <c r="E117">
        <v>24</v>
      </c>
      <c r="F117">
        <v>27</v>
      </c>
      <c r="G117">
        <v>31</v>
      </c>
      <c r="H117" s="2">
        <v>16</v>
      </c>
      <c r="J117">
        <v>98</v>
      </c>
      <c r="K117">
        <v>65</v>
      </c>
      <c r="L117">
        <v>25</v>
      </c>
      <c r="M117">
        <v>21</v>
      </c>
      <c r="N117">
        <v>46</v>
      </c>
      <c r="O117">
        <v>48</v>
      </c>
    </row>
    <row r="118" spans="1:15" x14ac:dyDescent="0.25">
      <c r="A118">
        <v>17</v>
      </c>
      <c r="B118">
        <v>62</v>
      </c>
      <c r="C118">
        <v>33</v>
      </c>
      <c r="D118">
        <v>22</v>
      </c>
      <c r="E118">
        <v>26</v>
      </c>
      <c r="F118">
        <v>28</v>
      </c>
      <c r="G118">
        <v>32</v>
      </c>
      <c r="H118" s="2">
        <v>18</v>
      </c>
      <c r="I118">
        <v>25</v>
      </c>
      <c r="J118">
        <v>104</v>
      </c>
      <c r="K118">
        <v>67</v>
      </c>
      <c r="L118">
        <v>26</v>
      </c>
      <c r="M118">
        <v>22</v>
      </c>
      <c r="N118">
        <v>49</v>
      </c>
      <c r="O118">
        <v>51</v>
      </c>
    </row>
    <row r="119" spans="1:15" x14ac:dyDescent="0.25">
      <c r="A119">
        <v>18</v>
      </c>
      <c r="B119">
        <v>64</v>
      </c>
      <c r="C119">
        <v>34</v>
      </c>
      <c r="E119">
        <v>27</v>
      </c>
      <c r="G119">
        <v>33</v>
      </c>
      <c r="H119" s="2">
        <v>19</v>
      </c>
      <c r="J119">
        <v>111</v>
      </c>
      <c r="K119">
        <v>68</v>
      </c>
      <c r="N119">
        <v>51</v>
      </c>
    </row>
    <row r="120" spans="1:15" x14ac:dyDescent="0.25">
      <c r="A120">
        <v>19</v>
      </c>
      <c r="B120">
        <v>66</v>
      </c>
      <c r="C120">
        <v>35</v>
      </c>
      <c r="E120">
        <v>29</v>
      </c>
      <c r="H120" s="2">
        <v>20</v>
      </c>
      <c r="J120">
        <v>117</v>
      </c>
      <c r="N120">
        <v>54</v>
      </c>
    </row>
    <row r="122" spans="1:15" x14ac:dyDescent="0.25">
      <c r="A122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s="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2</v>
      </c>
      <c r="B123">
        <v>8</v>
      </c>
      <c r="C123">
        <v>3</v>
      </c>
      <c r="D123">
        <v>3</v>
      </c>
      <c r="E123">
        <v>3</v>
      </c>
      <c r="F123">
        <v>2</v>
      </c>
      <c r="G123">
        <v>3</v>
      </c>
      <c r="H123" s="2">
        <v>2</v>
      </c>
      <c r="I123">
        <v>2</v>
      </c>
      <c r="J123">
        <v>10</v>
      </c>
      <c r="K123">
        <v>4</v>
      </c>
      <c r="L123">
        <v>1</v>
      </c>
      <c r="M123">
        <v>1</v>
      </c>
      <c r="N123">
        <v>3</v>
      </c>
      <c r="O123">
        <v>3</v>
      </c>
    </row>
    <row r="124" spans="1:15" x14ac:dyDescent="0.25">
      <c r="A124">
        <v>3</v>
      </c>
      <c r="B124">
        <v>15</v>
      </c>
      <c r="C124">
        <v>6</v>
      </c>
      <c r="D124">
        <v>5</v>
      </c>
      <c r="E124">
        <v>5</v>
      </c>
      <c r="F124">
        <v>4</v>
      </c>
      <c r="G124">
        <v>6</v>
      </c>
      <c r="H124" s="2">
        <v>3</v>
      </c>
      <c r="I124">
        <v>4</v>
      </c>
      <c r="J124">
        <v>23</v>
      </c>
      <c r="K124">
        <v>10</v>
      </c>
      <c r="L124">
        <v>2</v>
      </c>
      <c r="M124">
        <v>2</v>
      </c>
      <c r="N124">
        <v>7</v>
      </c>
      <c r="O124">
        <v>7</v>
      </c>
    </row>
    <row r="125" spans="1:15" x14ac:dyDescent="0.25">
      <c r="A125">
        <v>4</v>
      </c>
      <c r="B125">
        <v>20</v>
      </c>
      <c r="C125">
        <v>10</v>
      </c>
      <c r="D125">
        <v>7</v>
      </c>
      <c r="E125">
        <v>7</v>
      </c>
      <c r="F125">
        <v>6</v>
      </c>
      <c r="G125">
        <v>9</v>
      </c>
      <c r="H125" s="2">
        <v>4</v>
      </c>
      <c r="I125">
        <v>7</v>
      </c>
      <c r="J125">
        <v>30</v>
      </c>
      <c r="K125">
        <v>15</v>
      </c>
      <c r="L125">
        <v>4</v>
      </c>
      <c r="M125">
        <v>3</v>
      </c>
      <c r="N125">
        <v>10</v>
      </c>
      <c r="O125">
        <v>10</v>
      </c>
    </row>
    <row r="126" spans="1:15" x14ac:dyDescent="0.25">
      <c r="A126">
        <v>5</v>
      </c>
      <c r="B126">
        <v>25</v>
      </c>
      <c r="C126">
        <v>14</v>
      </c>
      <c r="D126">
        <v>8</v>
      </c>
      <c r="E126">
        <v>9</v>
      </c>
      <c r="F126">
        <v>8</v>
      </c>
      <c r="G126">
        <v>12</v>
      </c>
      <c r="H126" s="2">
        <v>5</v>
      </c>
      <c r="I126">
        <v>11</v>
      </c>
      <c r="J126">
        <v>35</v>
      </c>
      <c r="K126">
        <v>20</v>
      </c>
      <c r="L126">
        <v>6</v>
      </c>
      <c r="M126">
        <v>5</v>
      </c>
      <c r="N126">
        <v>14</v>
      </c>
      <c r="O126">
        <v>13</v>
      </c>
    </row>
    <row r="127" spans="1:15" x14ac:dyDescent="0.25">
      <c r="A127">
        <v>6</v>
      </c>
      <c r="B127">
        <v>30</v>
      </c>
      <c r="C127">
        <v>17</v>
      </c>
      <c r="D127">
        <v>9</v>
      </c>
      <c r="E127">
        <v>11</v>
      </c>
      <c r="F127">
        <v>10</v>
      </c>
      <c r="G127">
        <v>15</v>
      </c>
      <c r="H127" s="2">
        <v>6</v>
      </c>
      <c r="I127">
        <v>14</v>
      </c>
      <c r="J127">
        <v>39</v>
      </c>
      <c r="K127">
        <v>24</v>
      </c>
      <c r="L127">
        <v>9</v>
      </c>
      <c r="M127">
        <v>6</v>
      </c>
      <c r="N127">
        <v>16</v>
      </c>
      <c r="O127">
        <v>16</v>
      </c>
    </row>
    <row r="128" spans="1:15" x14ac:dyDescent="0.25">
      <c r="A128">
        <v>7</v>
      </c>
      <c r="B128">
        <v>34</v>
      </c>
      <c r="C128">
        <v>20</v>
      </c>
      <c r="D128">
        <v>10</v>
      </c>
      <c r="E128">
        <v>12</v>
      </c>
      <c r="F128">
        <v>12</v>
      </c>
      <c r="G128">
        <v>17</v>
      </c>
      <c r="H128" s="2">
        <v>7</v>
      </c>
      <c r="I128">
        <v>16</v>
      </c>
      <c r="J128">
        <v>45</v>
      </c>
      <c r="K128">
        <v>29</v>
      </c>
      <c r="L128">
        <v>11</v>
      </c>
      <c r="M128">
        <v>7</v>
      </c>
      <c r="N128">
        <v>19</v>
      </c>
      <c r="O128">
        <v>20</v>
      </c>
    </row>
    <row r="129" spans="1:15" x14ac:dyDescent="0.25">
      <c r="A129">
        <v>8</v>
      </c>
      <c r="B129">
        <v>38</v>
      </c>
      <c r="C129">
        <v>22</v>
      </c>
      <c r="D129">
        <v>12</v>
      </c>
      <c r="E129">
        <v>13</v>
      </c>
      <c r="F129">
        <v>14</v>
      </c>
      <c r="G129">
        <v>19</v>
      </c>
      <c r="H129" s="2">
        <v>8</v>
      </c>
      <c r="I129">
        <v>18</v>
      </c>
      <c r="J129">
        <v>51</v>
      </c>
      <c r="K129">
        <v>33</v>
      </c>
      <c r="L129">
        <v>13</v>
      </c>
      <c r="M129">
        <v>8</v>
      </c>
      <c r="N129">
        <v>22</v>
      </c>
      <c r="O129">
        <v>24</v>
      </c>
    </row>
    <row r="130" spans="1:15" x14ac:dyDescent="0.25">
      <c r="A130">
        <v>9</v>
      </c>
      <c r="B130">
        <v>41</v>
      </c>
      <c r="C130">
        <v>24</v>
      </c>
      <c r="D130">
        <v>13</v>
      </c>
      <c r="E130">
        <v>15</v>
      </c>
      <c r="F130">
        <v>16</v>
      </c>
      <c r="G130">
        <v>21</v>
      </c>
      <c r="H130" s="2">
        <v>9</v>
      </c>
      <c r="I130">
        <v>19</v>
      </c>
      <c r="J130">
        <v>57</v>
      </c>
      <c r="K130">
        <v>37</v>
      </c>
      <c r="L130">
        <v>15</v>
      </c>
      <c r="M130">
        <v>10</v>
      </c>
      <c r="N130">
        <v>25</v>
      </c>
      <c r="O130">
        <v>27</v>
      </c>
    </row>
    <row r="131" spans="1:15" x14ac:dyDescent="0.25">
      <c r="A131">
        <v>10</v>
      </c>
      <c r="B131">
        <v>44</v>
      </c>
      <c r="C131">
        <v>25</v>
      </c>
      <c r="D131">
        <v>14</v>
      </c>
      <c r="E131">
        <v>16</v>
      </c>
      <c r="F131">
        <v>18</v>
      </c>
      <c r="G131">
        <v>23</v>
      </c>
      <c r="H131" s="2">
        <v>10</v>
      </c>
      <c r="I131">
        <v>20</v>
      </c>
      <c r="J131">
        <v>61</v>
      </c>
      <c r="K131">
        <v>42</v>
      </c>
      <c r="L131">
        <v>17</v>
      </c>
      <c r="M131">
        <v>11</v>
      </c>
      <c r="N131">
        <v>28</v>
      </c>
      <c r="O131">
        <v>30</v>
      </c>
    </row>
    <row r="132" spans="1:15" x14ac:dyDescent="0.25">
      <c r="A132">
        <v>11</v>
      </c>
      <c r="B132">
        <v>47</v>
      </c>
      <c r="C132">
        <v>27</v>
      </c>
      <c r="D132">
        <v>16</v>
      </c>
      <c r="E132">
        <v>17</v>
      </c>
      <c r="F132">
        <v>20</v>
      </c>
      <c r="G132">
        <v>25</v>
      </c>
      <c r="H132" s="2">
        <v>11</v>
      </c>
      <c r="I132">
        <v>21</v>
      </c>
      <c r="J132">
        <v>66</v>
      </c>
      <c r="K132">
        <v>46</v>
      </c>
      <c r="L132">
        <v>19</v>
      </c>
      <c r="M132">
        <v>13</v>
      </c>
      <c r="N132">
        <v>30</v>
      </c>
      <c r="O132">
        <v>33</v>
      </c>
    </row>
    <row r="133" spans="1:15" x14ac:dyDescent="0.25">
      <c r="A133">
        <v>12</v>
      </c>
      <c r="B133">
        <v>50</v>
      </c>
      <c r="C133">
        <v>28</v>
      </c>
      <c r="D133">
        <v>17</v>
      </c>
      <c r="E133">
        <v>18</v>
      </c>
      <c r="F133">
        <v>22</v>
      </c>
      <c r="G133">
        <v>26</v>
      </c>
      <c r="H133" s="2">
        <v>12</v>
      </c>
      <c r="J133">
        <v>72</v>
      </c>
      <c r="K133">
        <v>50</v>
      </c>
      <c r="L133">
        <v>20</v>
      </c>
      <c r="M133">
        <v>14</v>
      </c>
      <c r="N133">
        <v>33</v>
      </c>
      <c r="O133">
        <v>36</v>
      </c>
    </row>
    <row r="134" spans="1:15" x14ac:dyDescent="0.25">
      <c r="A134">
        <v>13</v>
      </c>
      <c r="B134">
        <v>52</v>
      </c>
      <c r="C134">
        <v>29</v>
      </c>
      <c r="D134">
        <v>18</v>
      </c>
      <c r="E134">
        <v>20</v>
      </c>
      <c r="F134">
        <v>23</v>
      </c>
      <c r="G134">
        <v>28</v>
      </c>
      <c r="H134" s="2">
        <v>13</v>
      </c>
      <c r="I134">
        <v>22</v>
      </c>
      <c r="J134">
        <v>77</v>
      </c>
      <c r="K134">
        <v>53</v>
      </c>
      <c r="L134">
        <v>22</v>
      </c>
      <c r="M134">
        <v>16</v>
      </c>
      <c r="N134">
        <v>35</v>
      </c>
      <c r="O134">
        <v>38</v>
      </c>
    </row>
    <row r="135" spans="1:15" x14ac:dyDescent="0.25">
      <c r="A135">
        <v>14</v>
      </c>
      <c r="B135">
        <v>55</v>
      </c>
      <c r="C135">
        <v>30</v>
      </c>
      <c r="D135">
        <v>19</v>
      </c>
      <c r="E135">
        <v>21</v>
      </c>
      <c r="F135">
        <v>25</v>
      </c>
      <c r="G135">
        <v>29</v>
      </c>
      <c r="H135" s="2">
        <v>14</v>
      </c>
      <c r="I135">
        <v>23</v>
      </c>
      <c r="J135">
        <v>81</v>
      </c>
      <c r="K135">
        <v>56</v>
      </c>
      <c r="L135">
        <v>23</v>
      </c>
      <c r="M135">
        <v>18</v>
      </c>
      <c r="N135">
        <v>37</v>
      </c>
      <c r="O135">
        <v>41</v>
      </c>
    </row>
    <row r="136" spans="1:15" x14ac:dyDescent="0.25">
      <c r="A136">
        <v>15</v>
      </c>
      <c r="B136">
        <v>57</v>
      </c>
      <c r="C136">
        <v>31</v>
      </c>
      <c r="D136">
        <v>20</v>
      </c>
      <c r="E136">
        <v>22</v>
      </c>
      <c r="F136">
        <v>26</v>
      </c>
      <c r="G136">
        <v>30</v>
      </c>
      <c r="H136" s="2">
        <v>15</v>
      </c>
      <c r="J136">
        <v>86</v>
      </c>
      <c r="K136">
        <v>60</v>
      </c>
      <c r="L136">
        <v>24</v>
      </c>
      <c r="M136">
        <v>19</v>
      </c>
      <c r="N136">
        <v>40</v>
      </c>
      <c r="O136">
        <v>43</v>
      </c>
    </row>
    <row r="137" spans="1:15" x14ac:dyDescent="0.25">
      <c r="A137">
        <v>16</v>
      </c>
      <c r="B137">
        <v>60</v>
      </c>
      <c r="C137">
        <v>32</v>
      </c>
      <c r="D137">
        <v>21</v>
      </c>
      <c r="E137">
        <v>24</v>
      </c>
      <c r="F137">
        <v>27</v>
      </c>
      <c r="G137">
        <v>31</v>
      </c>
      <c r="H137" s="2">
        <v>16</v>
      </c>
      <c r="I137">
        <v>24</v>
      </c>
      <c r="J137">
        <v>91</v>
      </c>
      <c r="K137">
        <v>63</v>
      </c>
      <c r="L137">
        <v>25</v>
      </c>
      <c r="M137">
        <v>20</v>
      </c>
      <c r="N137">
        <v>43</v>
      </c>
      <c r="O137">
        <v>46</v>
      </c>
    </row>
    <row r="138" spans="1:15" x14ac:dyDescent="0.25">
      <c r="A138">
        <v>17</v>
      </c>
      <c r="B138">
        <v>62</v>
      </c>
      <c r="C138">
        <v>33</v>
      </c>
      <c r="D138">
        <v>22</v>
      </c>
      <c r="E138">
        <v>25</v>
      </c>
      <c r="F138">
        <v>28</v>
      </c>
      <c r="G138">
        <v>32</v>
      </c>
      <c r="H138" s="2">
        <v>18</v>
      </c>
      <c r="J138">
        <v>98</v>
      </c>
      <c r="K138">
        <v>66</v>
      </c>
      <c r="L138">
        <v>26</v>
      </c>
      <c r="M138">
        <v>21</v>
      </c>
      <c r="N138">
        <v>46</v>
      </c>
      <c r="O138">
        <v>48</v>
      </c>
    </row>
    <row r="139" spans="1:15" x14ac:dyDescent="0.25">
      <c r="A139">
        <v>18</v>
      </c>
      <c r="B139">
        <v>64</v>
      </c>
      <c r="C139">
        <v>34</v>
      </c>
      <c r="E139">
        <v>26</v>
      </c>
      <c r="G139">
        <v>33</v>
      </c>
      <c r="H139" s="2">
        <v>19</v>
      </c>
      <c r="I139">
        <v>25</v>
      </c>
      <c r="J139">
        <v>104</v>
      </c>
      <c r="K139">
        <v>68</v>
      </c>
      <c r="M139">
        <v>22</v>
      </c>
      <c r="N139">
        <v>49</v>
      </c>
      <c r="O139">
        <v>51</v>
      </c>
    </row>
    <row r="140" spans="1:15" x14ac:dyDescent="0.25">
      <c r="A140">
        <v>19</v>
      </c>
      <c r="B140">
        <v>66</v>
      </c>
      <c r="C140">
        <v>35</v>
      </c>
      <c r="E140">
        <v>28</v>
      </c>
      <c r="H140" s="2">
        <v>20</v>
      </c>
      <c r="J140">
        <v>111</v>
      </c>
      <c r="N140">
        <v>51</v>
      </c>
      <c r="O140" t="s">
        <v>17</v>
      </c>
    </row>
    <row r="142" spans="1:15" x14ac:dyDescent="0.25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s="2">
        <v>0</v>
      </c>
      <c r="I142">
        <v>0</v>
      </c>
      <c r="J142">
        <v>0</v>
      </c>
      <c r="K142">
        <v>0</v>
      </c>
      <c r="L142">
        <v>0</v>
      </c>
      <c r="N142">
        <v>0</v>
      </c>
      <c r="O142">
        <v>0</v>
      </c>
    </row>
    <row r="143" spans="1:15" x14ac:dyDescent="0.25">
      <c r="A143">
        <v>2</v>
      </c>
      <c r="B143">
        <v>8</v>
      </c>
      <c r="C143">
        <v>3</v>
      </c>
      <c r="D143">
        <v>3</v>
      </c>
      <c r="E143">
        <v>2</v>
      </c>
      <c r="F143">
        <v>2</v>
      </c>
      <c r="G143">
        <v>3</v>
      </c>
      <c r="H143" s="2">
        <v>2</v>
      </c>
      <c r="I143">
        <v>1</v>
      </c>
      <c r="J143">
        <v>8</v>
      </c>
      <c r="K143">
        <v>2</v>
      </c>
      <c r="L143">
        <v>1</v>
      </c>
      <c r="M143">
        <v>0</v>
      </c>
      <c r="N143">
        <v>2</v>
      </c>
      <c r="O143">
        <v>2</v>
      </c>
    </row>
    <row r="144" spans="1:15" x14ac:dyDescent="0.25">
      <c r="A144">
        <v>3</v>
      </c>
      <c r="B144">
        <v>15</v>
      </c>
      <c r="C144">
        <v>6</v>
      </c>
      <c r="D144">
        <v>5</v>
      </c>
      <c r="E144">
        <v>4</v>
      </c>
      <c r="F144">
        <v>4</v>
      </c>
      <c r="G144">
        <v>6</v>
      </c>
      <c r="H144" s="2">
        <v>3</v>
      </c>
      <c r="I144">
        <v>3</v>
      </c>
      <c r="J144">
        <v>17</v>
      </c>
      <c r="K144">
        <v>6</v>
      </c>
      <c r="L144">
        <v>2</v>
      </c>
      <c r="M144">
        <v>1</v>
      </c>
      <c r="N144">
        <v>5</v>
      </c>
      <c r="O144">
        <v>4</v>
      </c>
    </row>
    <row r="145" spans="1:15" x14ac:dyDescent="0.25">
      <c r="A145">
        <v>4</v>
      </c>
      <c r="B145">
        <v>19</v>
      </c>
      <c r="C145">
        <v>9</v>
      </c>
      <c r="D145">
        <v>7</v>
      </c>
      <c r="E145">
        <v>6</v>
      </c>
      <c r="F145">
        <v>6</v>
      </c>
      <c r="G145">
        <v>9</v>
      </c>
      <c r="H145" s="2">
        <v>4</v>
      </c>
      <c r="I145">
        <v>6</v>
      </c>
      <c r="J145">
        <v>24</v>
      </c>
      <c r="K145">
        <v>11</v>
      </c>
      <c r="L145">
        <v>3</v>
      </c>
      <c r="M145">
        <v>2</v>
      </c>
      <c r="N145">
        <v>8</v>
      </c>
      <c r="O145">
        <v>7</v>
      </c>
    </row>
    <row r="146" spans="1:15" x14ac:dyDescent="0.25">
      <c r="A146">
        <v>5</v>
      </c>
      <c r="B146">
        <v>24</v>
      </c>
      <c r="C146">
        <v>13</v>
      </c>
      <c r="D146">
        <v>8</v>
      </c>
      <c r="E146">
        <v>8</v>
      </c>
      <c r="F146">
        <v>8</v>
      </c>
      <c r="G146">
        <v>12</v>
      </c>
      <c r="H146" s="2">
        <v>5</v>
      </c>
      <c r="I146">
        <v>10</v>
      </c>
      <c r="J146">
        <v>31</v>
      </c>
      <c r="K146">
        <v>16</v>
      </c>
      <c r="L146">
        <v>5</v>
      </c>
      <c r="M146">
        <v>3</v>
      </c>
      <c r="N146">
        <v>11</v>
      </c>
      <c r="O146">
        <v>10</v>
      </c>
    </row>
    <row r="147" spans="1:15" x14ac:dyDescent="0.25">
      <c r="A147">
        <v>6</v>
      </c>
      <c r="B147">
        <v>30</v>
      </c>
      <c r="C147">
        <v>16</v>
      </c>
      <c r="D147">
        <v>9</v>
      </c>
      <c r="E147">
        <v>10</v>
      </c>
      <c r="F147">
        <v>10</v>
      </c>
      <c r="G147">
        <v>15</v>
      </c>
      <c r="H147" s="2">
        <v>6</v>
      </c>
      <c r="I147">
        <v>13</v>
      </c>
      <c r="J147">
        <v>35</v>
      </c>
      <c r="K147">
        <v>21</v>
      </c>
      <c r="L147">
        <v>7</v>
      </c>
      <c r="M147">
        <v>4</v>
      </c>
      <c r="N147">
        <v>14</v>
      </c>
      <c r="O147">
        <v>13</v>
      </c>
    </row>
    <row r="148" spans="1:15" x14ac:dyDescent="0.25">
      <c r="A148">
        <v>7</v>
      </c>
      <c r="B148">
        <v>34</v>
      </c>
      <c r="C148">
        <v>19</v>
      </c>
      <c r="D148">
        <v>10</v>
      </c>
      <c r="E148">
        <v>12</v>
      </c>
      <c r="F148">
        <v>12</v>
      </c>
      <c r="G148">
        <v>17</v>
      </c>
      <c r="H148" s="2">
        <v>7</v>
      </c>
      <c r="I148">
        <v>15</v>
      </c>
      <c r="J148">
        <v>39</v>
      </c>
      <c r="K148">
        <v>25</v>
      </c>
      <c r="L148">
        <v>9</v>
      </c>
      <c r="M148">
        <v>5</v>
      </c>
      <c r="N148">
        <v>16</v>
      </c>
      <c r="O148">
        <v>17</v>
      </c>
    </row>
    <row r="149" spans="1:15" x14ac:dyDescent="0.25">
      <c r="A149">
        <v>8</v>
      </c>
      <c r="B149">
        <v>38</v>
      </c>
      <c r="C149">
        <v>21</v>
      </c>
      <c r="D149">
        <v>12</v>
      </c>
      <c r="E149">
        <v>13</v>
      </c>
      <c r="F149">
        <v>14</v>
      </c>
      <c r="G149">
        <v>19</v>
      </c>
      <c r="H149" s="2">
        <v>8</v>
      </c>
      <c r="I149">
        <v>16</v>
      </c>
      <c r="J149">
        <v>45</v>
      </c>
      <c r="K149">
        <v>29</v>
      </c>
      <c r="L149">
        <v>11</v>
      </c>
      <c r="M149">
        <v>7</v>
      </c>
      <c r="N149">
        <v>19</v>
      </c>
      <c r="O149">
        <v>21</v>
      </c>
    </row>
    <row r="150" spans="1:15" x14ac:dyDescent="0.25">
      <c r="A150">
        <v>9</v>
      </c>
      <c r="B150">
        <v>40</v>
      </c>
      <c r="C150">
        <v>23</v>
      </c>
      <c r="D150">
        <v>13</v>
      </c>
      <c r="E150">
        <v>14</v>
      </c>
      <c r="F150">
        <v>16</v>
      </c>
      <c r="G150">
        <v>21</v>
      </c>
      <c r="I150">
        <v>18</v>
      </c>
      <c r="J150">
        <v>51</v>
      </c>
      <c r="K150">
        <v>33</v>
      </c>
      <c r="L150">
        <v>13</v>
      </c>
      <c r="M150">
        <v>8</v>
      </c>
      <c r="N150">
        <v>22</v>
      </c>
      <c r="O150">
        <v>24</v>
      </c>
    </row>
    <row r="151" spans="1:15" x14ac:dyDescent="0.25">
      <c r="A151">
        <v>10</v>
      </c>
      <c r="B151">
        <v>43</v>
      </c>
      <c r="C151">
        <v>25</v>
      </c>
      <c r="D151">
        <v>14</v>
      </c>
      <c r="E151">
        <v>15</v>
      </c>
      <c r="F151">
        <v>18</v>
      </c>
      <c r="G151">
        <v>22</v>
      </c>
      <c r="H151" s="2">
        <v>9</v>
      </c>
      <c r="I151">
        <v>19</v>
      </c>
      <c r="J151">
        <v>57</v>
      </c>
      <c r="K151">
        <v>37</v>
      </c>
      <c r="L151">
        <v>15</v>
      </c>
      <c r="M151">
        <v>10</v>
      </c>
      <c r="N151">
        <v>25</v>
      </c>
      <c r="O151">
        <v>27</v>
      </c>
    </row>
    <row r="152" spans="1:15" x14ac:dyDescent="0.25">
      <c r="A152">
        <v>11</v>
      </c>
      <c r="B152">
        <v>46</v>
      </c>
      <c r="C152">
        <v>26</v>
      </c>
      <c r="D152">
        <v>16</v>
      </c>
      <c r="E152">
        <v>16</v>
      </c>
      <c r="F152">
        <v>20</v>
      </c>
      <c r="G152">
        <v>24</v>
      </c>
      <c r="H152" s="2">
        <v>10</v>
      </c>
      <c r="I152">
        <v>20</v>
      </c>
      <c r="J152">
        <v>61</v>
      </c>
      <c r="K152">
        <v>42</v>
      </c>
      <c r="L152">
        <v>17</v>
      </c>
      <c r="M152">
        <v>11</v>
      </c>
      <c r="N152">
        <v>28</v>
      </c>
      <c r="O152">
        <v>30</v>
      </c>
    </row>
    <row r="153" spans="1:15" x14ac:dyDescent="0.25">
      <c r="A153">
        <v>12</v>
      </c>
      <c r="B153">
        <v>48</v>
      </c>
      <c r="C153">
        <v>28</v>
      </c>
      <c r="D153">
        <v>17</v>
      </c>
      <c r="E153">
        <v>17</v>
      </c>
      <c r="F153">
        <v>22</v>
      </c>
      <c r="G153">
        <v>25</v>
      </c>
      <c r="H153" s="2">
        <v>11</v>
      </c>
      <c r="I153">
        <v>21</v>
      </c>
      <c r="J153">
        <v>66</v>
      </c>
      <c r="K153">
        <v>46</v>
      </c>
      <c r="L153">
        <v>19</v>
      </c>
      <c r="M153">
        <v>13</v>
      </c>
      <c r="N153">
        <v>30</v>
      </c>
      <c r="O153">
        <v>33</v>
      </c>
    </row>
    <row r="154" spans="1:15" x14ac:dyDescent="0.25">
      <c r="A154">
        <v>13</v>
      </c>
      <c r="B154">
        <v>51</v>
      </c>
      <c r="C154">
        <v>29</v>
      </c>
      <c r="D154">
        <v>18</v>
      </c>
      <c r="E154">
        <v>19</v>
      </c>
      <c r="F154">
        <v>23</v>
      </c>
      <c r="G154">
        <v>27</v>
      </c>
      <c r="H154" s="2">
        <v>12</v>
      </c>
      <c r="I154">
        <v>22</v>
      </c>
      <c r="J154">
        <v>72</v>
      </c>
      <c r="K154">
        <v>50</v>
      </c>
      <c r="L154">
        <v>20</v>
      </c>
      <c r="M154">
        <v>14</v>
      </c>
      <c r="N154">
        <v>33</v>
      </c>
      <c r="O154">
        <v>36</v>
      </c>
    </row>
    <row r="155" spans="1:15" x14ac:dyDescent="0.25">
      <c r="A155">
        <v>14</v>
      </c>
      <c r="B155">
        <v>54</v>
      </c>
      <c r="C155">
        <v>30</v>
      </c>
      <c r="D155">
        <v>19</v>
      </c>
      <c r="E155">
        <v>20</v>
      </c>
      <c r="F155">
        <v>25</v>
      </c>
      <c r="G155">
        <v>28</v>
      </c>
      <c r="H155" s="2">
        <v>13</v>
      </c>
      <c r="J155">
        <v>77</v>
      </c>
      <c r="K155">
        <v>53</v>
      </c>
      <c r="L155">
        <v>22</v>
      </c>
      <c r="M155">
        <v>16</v>
      </c>
      <c r="N155">
        <v>35</v>
      </c>
      <c r="O155">
        <v>38</v>
      </c>
    </row>
    <row r="156" spans="1:15" x14ac:dyDescent="0.25">
      <c r="A156">
        <v>15</v>
      </c>
      <c r="B156">
        <v>57</v>
      </c>
      <c r="C156">
        <v>31</v>
      </c>
      <c r="D156">
        <v>20</v>
      </c>
      <c r="E156">
        <v>21</v>
      </c>
      <c r="F156">
        <v>26</v>
      </c>
      <c r="G156">
        <v>29</v>
      </c>
      <c r="H156" s="2">
        <v>14</v>
      </c>
      <c r="I156">
        <v>23</v>
      </c>
      <c r="J156">
        <v>81</v>
      </c>
      <c r="K156">
        <v>56</v>
      </c>
      <c r="L156">
        <v>23</v>
      </c>
      <c r="M156">
        <v>18</v>
      </c>
      <c r="N156">
        <v>37</v>
      </c>
      <c r="O156">
        <v>41</v>
      </c>
    </row>
    <row r="157" spans="1:15" x14ac:dyDescent="0.25">
      <c r="A157">
        <v>16</v>
      </c>
      <c r="B157">
        <v>59</v>
      </c>
      <c r="C157">
        <v>32</v>
      </c>
      <c r="D157">
        <v>21</v>
      </c>
      <c r="E157">
        <v>22</v>
      </c>
      <c r="F157">
        <v>27</v>
      </c>
      <c r="G157">
        <v>30</v>
      </c>
      <c r="H157" s="2">
        <v>15</v>
      </c>
      <c r="I157">
        <v>24</v>
      </c>
      <c r="J157">
        <v>86</v>
      </c>
      <c r="K157">
        <v>60</v>
      </c>
      <c r="L157">
        <v>24</v>
      </c>
      <c r="M157">
        <v>19</v>
      </c>
      <c r="N157">
        <v>40</v>
      </c>
      <c r="O157">
        <v>43</v>
      </c>
    </row>
    <row r="158" spans="1:15" x14ac:dyDescent="0.25">
      <c r="A158">
        <v>17</v>
      </c>
      <c r="B158">
        <v>61</v>
      </c>
      <c r="C158">
        <v>33</v>
      </c>
      <c r="D158">
        <v>22</v>
      </c>
      <c r="E158">
        <v>24</v>
      </c>
      <c r="F158">
        <v>28</v>
      </c>
      <c r="G158">
        <v>31</v>
      </c>
      <c r="H158" s="2">
        <v>17</v>
      </c>
      <c r="J158">
        <v>91</v>
      </c>
      <c r="K158">
        <v>63</v>
      </c>
      <c r="L158">
        <v>25</v>
      </c>
      <c r="M158">
        <v>20</v>
      </c>
      <c r="N158">
        <v>43</v>
      </c>
      <c r="O158">
        <v>46</v>
      </c>
    </row>
    <row r="159" spans="1:15" x14ac:dyDescent="0.25">
      <c r="A159">
        <v>18</v>
      </c>
      <c r="B159">
        <v>64</v>
      </c>
      <c r="C159">
        <v>34</v>
      </c>
      <c r="E159">
        <v>25</v>
      </c>
      <c r="G159">
        <v>32</v>
      </c>
      <c r="H159" s="2">
        <v>18</v>
      </c>
      <c r="I159">
        <v>25</v>
      </c>
      <c r="J159">
        <v>98</v>
      </c>
      <c r="K159">
        <v>66</v>
      </c>
      <c r="L159">
        <v>26</v>
      </c>
      <c r="M159">
        <v>22</v>
      </c>
      <c r="N159">
        <v>46</v>
      </c>
      <c r="O159">
        <v>48</v>
      </c>
    </row>
    <row r="160" spans="1:15" x14ac:dyDescent="0.25">
      <c r="A160">
        <v>19</v>
      </c>
      <c r="B160">
        <v>66</v>
      </c>
      <c r="C160">
        <v>35</v>
      </c>
      <c r="E160">
        <v>27</v>
      </c>
      <c r="G160">
        <v>33</v>
      </c>
      <c r="H160" s="2">
        <v>19</v>
      </c>
      <c r="J160">
        <v>104</v>
      </c>
      <c r="K160">
        <v>68</v>
      </c>
      <c r="N160">
        <v>49</v>
      </c>
      <c r="O160">
        <v>51</v>
      </c>
    </row>
    <row r="162" spans="1:15" x14ac:dyDescent="0.25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s="2">
        <v>0</v>
      </c>
      <c r="I162">
        <v>0</v>
      </c>
      <c r="J162">
        <v>0</v>
      </c>
      <c r="K162">
        <v>0</v>
      </c>
      <c r="L162">
        <v>0</v>
      </c>
      <c r="N162">
        <v>0</v>
      </c>
      <c r="O162">
        <v>0</v>
      </c>
    </row>
    <row r="163" spans="1:15" x14ac:dyDescent="0.25">
      <c r="A163">
        <v>2</v>
      </c>
      <c r="B163">
        <v>7</v>
      </c>
      <c r="C163">
        <v>2</v>
      </c>
      <c r="D163">
        <v>3</v>
      </c>
      <c r="E163">
        <v>2</v>
      </c>
      <c r="F163">
        <v>2</v>
      </c>
      <c r="G163">
        <v>3</v>
      </c>
      <c r="H163" s="2">
        <v>1</v>
      </c>
      <c r="I163">
        <v>1</v>
      </c>
      <c r="J163">
        <v>6</v>
      </c>
      <c r="K163">
        <v>2</v>
      </c>
      <c r="L163">
        <v>1</v>
      </c>
      <c r="N163">
        <v>1</v>
      </c>
      <c r="O163">
        <v>2</v>
      </c>
    </row>
    <row r="164" spans="1:15" x14ac:dyDescent="0.25">
      <c r="A164">
        <v>3</v>
      </c>
      <c r="B164">
        <v>12</v>
      </c>
      <c r="C164">
        <v>5</v>
      </c>
      <c r="D164">
        <v>5</v>
      </c>
      <c r="E164">
        <v>4</v>
      </c>
      <c r="F164">
        <v>4</v>
      </c>
      <c r="G164">
        <v>5</v>
      </c>
      <c r="H164" s="2">
        <v>2</v>
      </c>
      <c r="I164">
        <v>3</v>
      </c>
      <c r="J164">
        <v>13</v>
      </c>
      <c r="K164">
        <v>6</v>
      </c>
      <c r="L164">
        <v>2</v>
      </c>
      <c r="M164">
        <v>0</v>
      </c>
      <c r="N164">
        <v>3</v>
      </c>
      <c r="O164">
        <v>4</v>
      </c>
    </row>
    <row r="165" spans="1:15" x14ac:dyDescent="0.25">
      <c r="A165">
        <v>4</v>
      </c>
      <c r="B165">
        <v>18</v>
      </c>
      <c r="C165">
        <v>9</v>
      </c>
      <c r="D165">
        <v>7</v>
      </c>
      <c r="E165">
        <v>6</v>
      </c>
      <c r="F165">
        <v>6</v>
      </c>
      <c r="G165">
        <v>8</v>
      </c>
      <c r="H165" s="2">
        <v>3</v>
      </c>
      <c r="I165">
        <v>6</v>
      </c>
      <c r="J165">
        <v>19</v>
      </c>
      <c r="K165">
        <v>11</v>
      </c>
      <c r="L165">
        <v>3</v>
      </c>
      <c r="M165">
        <v>1</v>
      </c>
      <c r="N165">
        <v>6</v>
      </c>
      <c r="O165">
        <v>6</v>
      </c>
    </row>
    <row r="166" spans="1:15" x14ac:dyDescent="0.25">
      <c r="A166">
        <v>5</v>
      </c>
      <c r="B166">
        <v>24</v>
      </c>
      <c r="C166">
        <v>13</v>
      </c>
      <c r="D166">
        <v>8</v>
      </c>
      <c r="E166">
        <v>8</v>
      </c>
      <c r="F166">
        <v>8</v>
      </c>
      <c r="G166">
        <v>11</v>
      </c>
      <c r="H166" s="2">
        <v>4</v>
      </c>
      <c r="I166">
        <v>8</v>
      </c>
      <c r="J166">
        <v>25</v>
      </c>
      <c r="K166">
        <v>16</v>
      </c>
      <c r="L166">
        <v>4</v>
      </c>
      <c r="M166">
        <v>2</v>
      </c>
      <c r="N166">
        <v>9</v>
      </c>
      <c r="O166">
        <v>8</v>
      </c>
    </row>
    <row r="167" spans="1:15" x14ac:dyDescent="0.25">
      <c r="A167">
        <v>6</v>
      </c>
      <c r="B167">
        <v>28</v>
      </c>
      <c r="C167">
        <v>16</v>
      </c>
      <c r="D167">
        <v>9</v>
      </c>
      <c r="E167">
        <v>10</v>
      </c>
      <c r="F167">
        <v>10</v>
      </c>
      <c r="G167">
        <v>14</v>
      </c>
      <c r="H167" s="2">
        <v>5</v>
      </c>
      <c r="I167">
        <v>11</v>
      </c>
      <c r="J167">
        <v>31</v>
      </c>
      <c r="K167">
        <v>19</v>
      </c>
      <c r="L167">
        <v>6</v>
      </c>
      <c r="M167">
        <v>3</v>
      </c>
      <c r="N167">
        <v>11</v>
      </c>
      <c r="O167">
        <v>11</v>
      </c>
    </row>
    <row r="168" spans="1:15" x14ac:dyDescent="0.25">
      <c r="A168">
        <v>7</v>
      </c>
      <c r="B168">
        <v>32</v>
      </c>
      <c r="C168">
        <v>18</v>
      </c>
      <c r="D168">
        <v>10</v>
      </c>
      <c r="E168">
        <v>11</v>
      </c>
      <c r="F168">
        <v>11</v>
      </c>
      <c r="G168">
        <v>16</v>
      </c>
      <c r="H168" s="2">
        <v>6</v>
      </c>
      <c r="I168">
        <v>13</v>
      </c>
      <c r="J168">
        <v>35</v>
      </c>
      <c r="K168">
        <v>22</v>
      </c>
      <c r="L168">
        <v>7</v>
      </c>
      <c r="M168">
        <v>4</v>
      </c>
      <c r="N168">
        <v>14</v>
      </c>
      <c r="O168">
        <v>15</v>
      </c>
    </row>
    <row r="169" spans="1:15" x14ac:dyDescent="0.25">
      <c r="A169">
        <v>8</v>
      </c>
      <c r="B169">
        <v>36</v>
      </c>
      <c r="C169">
        <v>20</v>
      </c>
      <c r="D169">
        <v>12</v>
      </c>
      <c r="E169">
        <v>12</v>
      </c>
      <c r="F169">
        <v>13</v>
      </c>
      <c r="G169">
        <v>18</v>
      </c>
      <c r="H169" s="2">
        <v>7</v>
      </c>
      <c r="I169">
        <v>15</v>
      </c>
      <c r="J169">
        <v>39</v>
      </c>
      <c r="K169">
        <v>26</v>
      </c>
      <c r="L169">
        <v>9</v>
      </c>
      <c r="M169">
        <v>5</v>
      </c>
      <c r="N169">
        <v>16</v>
      </c>
      <c r="O169">
        <v>18</v>
      </c>
    </row>
    <row r="170" spans="1:15" x14ac:dyDescent="0.25">
      <c r="A170">
        <v>9</v>
      </c>
      <c r="B170">
        <v>39</v>
      </c>
      <c r="C170">
        <v>22</v>
      </c>
      <c r="D170">
        <v>13</v>
      </c>
      <c r="E170">
        <v>14</v>
      </c>
      <c r="F170">
        <v>15</v>
      </c>
      <c r="G170">
        <v>20</v>
      </c>
      <c r="H170" s="2">
        <v>8</v>
      </c>
      <c r="I170">
        <v>17</v>
      </c>
      <c r="J170">
        <v>45</v>
      </c>
      <c r="K170">
        <v>30</v>
      </c>
      <c r="L170">
        <v>11</v>
      </c>
      <c r="M170">
        <v>7</v>
      </c>
      <c r="N170">
        <v>19</v>
      </c>
      <c r="O170">
        <v>21</v>
      </c>
    </row>
    <row r="171" spans="1:15" x14ac:dyDescent="0.25">
      <c r="A171">
        <v>10</v>
      </c>
      <c r="B171">
        <v>42</v>
      </c>
      <c r="C171">
        <v>24</v>
      </c>
      <c r="D171">
        <v>14</v>
      </c>
      <c r="E171">
        <v>15</v>
      </c>
      <c r="F171">
        <v>17</v>
      </c>
      <c r="G171">
        <v>22</v>
      </c>
      <c r="H171" s="2">
        <v>9</v>
      </c>
      <c r="I171">
        <v>18</v>
      </c>
      <c r="J171">
        <v>51</v>
      </c>
      <c r="K171">
        <v>33</v>
      </c>
      <c r="L171">
        <v>13</v>
      </c>
      <c r="M171">
        <v>8</v>
      </c>
      <c r="N171">
        <v>21</v>
      </c>
      <c r="O171">
        <v>24</v>
      </c>
    </row>
    <row r="172" spans="1:15" x14ac:dyDescent="0.25">
      <c r="A172">
        <v>11</v>
      </c>
      <c r="B172">
        <v>45</v>
      </c>
      <c r="C172">
        <v>25</v>
      </c>
      <c r="D172">
        <v>15</v>
      </c>
      <c r="E172">
        <v>16</v>
      </c>
      <c r="F172">
        <v>19</v>
      </c>
      <c r="G172">
        <v>23</v>
      </c>
      <c r="I172">
        <v>19</v>
      </c>
      <c r="J172">
        <v>57</v>
      </c>
      <c r="K172">
        <v>37</v>
      </c>
      <c r="L172">
        <v>15</v>
      </c>
      <c r="M172">
        <v>10</v>
      </c>
      <c r="N172">
        <v>23</v>
      </c>
      <c r="O172">
        <v>27</v>
      </c>
    </row>
    <row r="173" spans="1:15" x14ac:dyDescent="0.25">
      <c r="A173">
        <v>12</v>
      </c>
      <c r="B173">
        <v>48</v>
      </c>
      <c r="C173">
        <v>27</v>
      </c>
      <c r="D173">
        <v>16</v>
      </c>
      <c r="E173">
        <v>17</v>
      </c>
      <c r="F173">
        <v>21</v>
      </c>
      <c r="G173">
        <v>24</v>
      </c>
      <c r="H173" s="2">
        <v>10</v>
      </c>
      <c r="I173">
        <v>20</v>
      </c>
      <c r="J173">
        <v>61</v>
      </c>
      <c r="K173">
        <v>42</v>
      </c>
      <c r="L173">
        <v>17</v>
      </c>
      <c r="M173">
        <v>11</v>
      </c>
      <c r="N173">
        <v>25</v>
      </c>
      <c r="O173">
        <v>30</v>
      </c>
    </row>
    <row r="174" spans="1:15" x14ac:dyDescent="0.25">
      <c r="A174">
        <v>13</v>
      </c>
      <c r="B174">
        <v>51</v>
      </c>
      <c r="C174">
        <v>28</v>
      </c>
      <c r="D174">
        <v>17</v>
      </c>
      <c r="E174">
        <v>18</v>
      </c>
      <c r="F174">
        <v>22</v>
      </c>
      <c r="G174">
        <v>26</v>
      </c>
      <c r="H174" s="2">
        <v>11</v>
      </c>
      <c r="I174">
        <v>21</v>
      </c>
      <c r="J174">
        <v>66</v>
      </c>
      <c r="K174">
        <v>46</v>
      </c>
      <c r="L174">
        <v>19</v>
      </c>
      <c r="M174">
        <v>13</v>
      </c>
      <c r="N174">
        <v>28</v>
      </c>
      <c r="O174">
        <v>32</v>
      </c>
    </row>
    <row r="175" spans="1:15" x14ac:dyDescent="0.25">
      <c r="A175">
        <v>14</v>
      </c>
      <c r="B175">
        <v>53</v>
      </c>
      <c r="C175">
        <v>29</v>
      </c>
      <c r="D175">
        <v>18</v>
      </c>
      <c r="E175">
        <v>19</v>
      </c>
      <c r="F175">
        <v>24</v>
      </c>
      <c r="G175">
        <v>27</v>
      </c>
      <c r="H175" s="2">
        <v>12</v>
      </c>
      <c r="I175">
        <v>22</v>
      </c>
      <c r="J175">
        <v>71</v>
      </c>
      <c r="K175">
        <v>50</v>
      </c>
      <c r="L175">
        <v>20</v>
      </c>
      <c r="M175">
        <v>14</v>
      </c>
      <c r="N175">
        <v>31</v>
      </c>
      <c r="O175">
        <v>34</v>
      </c>
    </row>
    <row r="176" spans="1:15" x14ac:dyDescent="0.25">
      <c r="A176">
        <v>15</v>
      </c>
      <c r="B176">
        <v>55</v>
      </c>
      <c r="C176">
        <v>30</v>
      </c>
      <c r="D176">
        <v>19</v>
      </c>
      <c r="E176">
        <v>20</v>
      </c>
      <c r="F176">
        <v>25</v>
      </c>
      <c r="G176">
        <v>29</v>
      </c>
      <c r="H176" s="2">
        <v>13</v>
      </c>
      <c r="J176">
        <v>76</v>
      </c>
      <c r="K176">
        <v>53</v>
      </c>
      <c r="L176">
        <v>22</v>
      </c>
      <c r="M176">
        <v>16</v>
      </c>
      <c r="N176">
        <v>34</v>
      </c>
      <c r="O176">
        <v>37</v>
      </c>
    </row>
    <row r="177" spans="1:15" x14ac:dyDescent="0.25">
      <c r="A177">
        <v>16</v>
      </c>
      <c r="B177">
        <v>57</v>
      </c>
      <c r="C177">
        <v>31</v>
      </c>
      <c r="D177">
        <v>20</v>
      </c>
      <c r="E177">
        <v>21</v>
      </c>
      <c r="F177">
        <v>26</v>
      </c>
      <c r="G177">
        <v>30</v>
      </c>
      <c r="H177" s="2">
        <v>14</v>
      </c>
      <c r="I177">
        <v>23</v>
      </c>
      <c r="J177">
        <v>80</v>
      </c>
      <c r="K177">
        <v>56</v>
      </c>
      <c r="L177">
        <v>23</v>
      </c>
      <c r="M177">
        <v>17</v>
      </c>
      <c r="N177">
        <v>37</v>
      </c>
      <c r="O177">
        <v>39</v>
      </c>
    </row>
    <row r="178" spans="1:15" x14ac:dyDescent="0.25">
      <c r="A178">
        <v>17</v>
      </c>
      <c r="B178">
        <v>61</v>
      </c>
      <c r="C178">
        <v>32</v>
      </c>
      <c r="D178">
        <v>21</v>
      </c>
      <c r="E178">
        <v>22</v>
      </c>
      <c r="F178">
        <v>27</v>
      </c>
      <c r="G178">
        <v>31</v>
      </c>
      <c r="H178" s="2">
        <v>15</v>
      </c>
      <c r="I178">
        <v>24</v>
      </c>
      <c r="J178">
        <v>86</v>
      </c>
      <c r="K178">
        <v>60</v>
      </c>
      <c r="L178">
        <v>24</v>
      </c>
      <c r="M178">
        <v>19</v>
      </c>
      <c r="N178">
        <v>40</v>
      </c>
      <c r="O178">
        <v>41</v>
      </c>
    </row>
    <row r="179" spans="1:15" x14ac:dyDescent="0.25">
      <c r="A179">
        <v>18</v>
      </c>
      <c r="B179">
        <v>63</v>
      </c>
      <c r="C179">
        <v>34</v>
      </c>
      <c r="D179">
        <v>22</v>
      </c>
      <c r="E179">
        <v>24</v>
      </c>
      <c r="F179">
        <v>28</v>
      </c>
      <c r="G179">
        <v>32</v>
      </c>
      <c r="H179" s="2">
        <v>17</v>
      </c>
      <c r="I179">
        <v>25</v>
      </c>
      <c r="J179">
        <v>91</v>
      </c>
      <c r="K179">
        <v>63</v>
      </c>
      <c r="L179">
        <v>26</v>
      </c>
      <c r="M179">
        <v>20</v>
      </c>
      <c r="N179">
        <v>43</v>
      </c>
      <c r="O179">
        <v>43</v>
      </c>
    </row>
    <row r="180" spans="1:15" x14ac:dyDescent="0.25">
      <c r="A180">
        <v>19</v>
      </c>
      <c r="B180">
        <v>65</v>
      </c>
      <c r="C180">
        <v>35</v>
      </c>
      <c r="E180">
        <v>26</v>
      </c>
      <c r="G180">
        <v>33</v>
      </c>
      <c r="H180" s="2">
        <v>18</v>
      </c>
      <c r="J180">
        <v>98</v>
      </c>
      <c r="K180">
        <v>66</v>
      </c>
      <c r="M180">
        <v>22</v>
      </c>
      <c r="N180">
        <v>46</v>
      </c>
      <c r="O180">
        <v>46</v>
      </c>
    </row>
    <row r="182" spans="1:15" x14ac:dyDescent="0.25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 s="2">
        <v>0</v>
      </c>
      <c r="I182">
        <v>0</v>
      </c>
      <c r="J182">
        <v>0</v>
      </c>
      <c r="K182">
        <v>0</v>
      </c>
      <c r="L182">
        <v>0</v>
      </c>
      <c r="O182">
        <v>0</v>
      </c>
    </row>
    <row r="183" spans="1:15" x14ac:dyDescent="0.25">
      <c r="A183">
        <v>2</v>
      </c>
      <c r="B183">
        <v>5</v>
      </c>
      <c r="C183">
        <v>2</v>
      </c>
      <c r="D183">
        <v>3</v>
      </c>
      <c r="E183">
        <v>2</v>
      </c>
      <c r="F183">
        <v>2</v>
      </c>
      <c r="G183">
        <v>2</v>
      </c>
      <c r="H183" s="2">
        <v>1</v>
      </c>
      <c r="I183">
        <v>1</v>
      </c>
      <c r="J183">
        <v>4</v>
      </c>
      <c r="K183">
        <v>2</v>
      </c>
      <c r="L183">
        <v>1</v>
      </c>
      <c r="N183">
        <v>0</v>
      </c>
      <c r="O183">
        <v>1</v>
      </c>
    </row>
    <row r="184" spans="1:15" x14ac:dyDescent="0.25">
      <c r="A184">
        <v>3</v>
      </c>
      <c r="B184">
        <v>10</v>
      </c>
      <c r="C184">
        <v>5</v>
      </c>
      <c r="D184">
        <v>5</v>
      </c>
      <c r="E184">
        <v>4</v>
      </c>
      <c r="F184">
        <v>4</v>
      </c>
      <c r="G184">
        <v>5</v>
      </c>
      <c r="H184" s="2">
        <v>2</v>
      </c>
      <c r="I184">
        <v>3</v>
      </c>
      <c r="J184">
        <v>9</v>
      </c>
      <c r="K184">
        <v>4</v>
      </c>
      <c r="L184">
        <v>2</v>
      </c>
      <c r="M184">
        <v>0</v>
      </c>
      <c r="N184">
        <v>2</v>
      </c>
      <c r="O184">
        <v>3</v>
      </c>
    </row>
    <row r="185" spans="1:15" x14ac:dyDescent="0.25">
      <c r="A185">
        <v>4</v>
      </c>
      <c r="B185">
        <v>17</v>
      </c>
      <c r="C185">
        <v>8</v>
      </c>
      <c r="D185">
        <v>6</v>
      </c>
      <c r="E185">
        <v>6</v>
      </c>
      <c r="F185">
        <v>5</v>
      </c>
      <c r="G185">
        <v>8</v>
      </c>
      <c r="H185" s="2">
        <v>3</v>
      </c>
      <c r="I185">
        <v>5</v>
      </c>
      <c r="J185">
        <v>15</v>
      </c>
      <c r="K185">
        <v>7</v>
      </c>
      <c r="L185">
        <v>3</v>
      </c>
      <c r="M185">
        <v>1</v>
      </c>
      <c r="N185">
        <v>4</v>
      </c>
      <c r="O185">
        <v>5</v>
      </c>
    </row>
    <row r="186" spans="1:15" x14ac:dyDescent="0.25">
      <c r="A186">
        <v>5</v>
      </c>
      <c r="B186">
        <v>21</v>
      </c>
      <c r="C186">
        <v>12</v>
      </c>
      <c r="D186">
        <v>7</v>
      </c>
      <c r="E186">
        <v>8</v>
      </c>
      <c r="F186">
        <v>6</v>
      </c>
      <c r="G186">
        <v>11</v>
      </c>
      <c r="H186" s="2">
        <v>4</v>
      </c>
      <c r="I186">
        <v>7</v>
      </c>
      <c r="J186">
        <v>20</v>
      </c>
      <c r="K186">
        <v>12</v>
      </c>
      <c r="L186">
        <v>4</v>
      </c>
      <c r="N186">
        <v>6</v>
      </c>
      <c r="O186">
        <v>7</v>
      </c>
    </row>
    <row r="187" spans="1:15" x14ac:dyDescent="0.25">
      <c r="A187">
        <v>6</v>
      </c>
      <c r="B187">
        <v>26</v>
      </c>
      <c r="C187">
        <v>15</v>
      </c>
      <c r="D187">
        <v>8</v>
      </c>
      <c r="E187">
        <v>10</v>
      </c>
      <c r="F187">
        <v>8</v>
      </c>
      <c r="G187">
        <v>14</v>
      </c>
      <c r="H187" s="2">
        <v>5</v>
      </c>
      <c r="I187">
        <v>9</v>
      </c>
      <c r="J187">
        <v>25</v>
      </c>
      <c r="K187">
        <v>16</v>
      </c>
      <c r="L187">
        <v>5</v>
      </c>
      <c r="M187">
        <v>2</v>
      </c>
      <c r="N187">
        <v>8</v>
      </c>
      <c r="O187">
        <v>9</v>
      </c>
    </row>
    <row r="188" spans="1:15" x14ac:dyDescent="0.25">
      <c r="A188">
        <v>7</v>
      </c>
      <c r="B188">
        <v>30</v>
      </c>
      <c r="C188">
        <v>17</v>
      </c>
      <c r="D188">
        <v>9</v>
      </c>
      <c r="E188">
        <v>11</v>
      </c>
      <c r="F188">
        <v>10</v>
      </c>
      <c r="G188">
        <v>16</v>
      </c>
      <c r="H188" s="2">
        <v>6</v>
      </c>
      <c r="I188">
        <v>11</v>
      </c>
      <c r="J188">
        <v>30</v>
      </c>
      <c r="K188">
        <v>19</v>
      </c>
      <c r="L188">
        <v>6</v>
      </c>
      <c r="M188">
        <v>3</v>
      </c>
      <c r="N188">
        <v>11</v>
      </c>
      <c r="O188">
        <v>12</v>
      </c>
    </row>
    <row r="189" spans="1:15" x14ac:dyDescent="0.25">
      <c r="A189">
        <v>8</v>
      </c>
      <c r="B189">
        <v>34</v>
      </c>
      <c r="C189">
        <v>19</v>
      </c>
      <c r="D189">
        <v>11</v>
      </c>
      <c r="E189">
        <v>12</v>
      </c>
      <c r="F189">
        <v>12</v>
      </c>
      <c r="G189">
        <v>17</v>
      </c>
      <c r="I189">
        <v>13</v>
      </c>
      <c r="J189">
        <v>34</v>
      </c>
      <c r="K189">
        <v>22</v>
      </c>
      <c r="L189">
        <v>7</v>
      </c>
      <c r="M189">
        <v>4</v>
      </c>
      <c r="N189">
        <v>13</v>
      </c>
      <c r="O189">
        <v>15</v>
      </c>
    </row>
    <row r="190" spans="1:15" x14ac:dyDescent="0.25">
      <c r="A190">
        <v>9</v>
      </c>
      <c r="B190">
        <v>37</v>
      </c>
      <c r="C190">
        <v>21</v>
      </c>
      <c r="D190">
        <v>12</v>
      </c>
      <c r="E190">
        <v>13</v>
      </c>
      <c r="F190">
        <v>14</v>
      </c>
      <c r="G190">
        <v>19</v>
      </c>
      <c r="H190" s="2">
        <v>7</v>
      </c>
      <c r="I190">
        <v>15</v>
      </c>
      <c r="J190">
        <v>39</v>
      </c>
      <c r="K190">
        <v>26</v>
      </c>
      <c r="L190">
        <v>9</v>
      </c>
      <c r="M190">
        <v>5</v>
      </c>
      <c r="N190">
        <v>16</v>
      </c>
      <c r="O190">
        <v>18</v>
      </c>
    </row>
    <row r="191" spans="1:15" x14ac:dyDescent="0.25">
      <c r="A191">
        <v>10</v>
      </c>
      <c r="B191">
        <v>41</v>
      </c>
      <c r="C191">
        <v>23</v>
      </c>
      <c r="D191">
        <v>13</v>
      </c>
      <c r="E191">
        <v>14</v>
      </c>
      <c r="F191">
        <v>16</v>
      </c>
      <c r="G191">
        <v>21</v>
      </c>
      <c r="H191" s="2">
        <v>8</v>
      </c>
      <c r="I191">
        <v>17</v>
      </c>
      <c r="J191">
        <v>44</v>
      </c>
      <c r="K191">
        <v>30</v>
      </c>
      <c r="L191">
        <v>11</v>
      </c>
      <c r="M191">
        <v>7</v>
      </c>
      <c r="N191">
        <v>18</v>
      </c>
      <c r="O191">
        <v>21</v>
      </c>
    </row>
    <row r="192" spans="1:15" x14ac:dyDescent="0.25">
      <c r="A192">
        <v>11</v>
      </c>
      <c r="B192">
        <v>44</v>
      </c>
      <c r="C192">
        <v>24</v>
      </c>
      <c r="D192">
        <v>14</v>
      </c>
      <c r="E192">
        <v>15</v>
      </c>
      <c r="F192">
        <v>18</v>
      </c>
      <c r="G192">
        <v>22</v>
      </c>
      <c r="H192" s="2">
        <v>9</v>
      </c>
      <c r="I192">
        <v>18</v>
      </c>
      <c r="J192">
        <v>49</v>
      </c>
      <c r="K192">
        <v>33</v>
      </c>
      <c r="L192">
        <v>13</v>
      </c>
      <c r="M192">
        <v>8</v>
      </c>
      <c r="N192">
        <v>21</v>
      </c>
      <c r="O192">
        <v>24</v>
      </c>
    </row>
    <row r="193" spans="1:15" x14ac:dyDescent="0.25">
      <c r="A193">
        <v>12</v>
      </c>
      <c r="B193">
        <v>46</v>
      </c>
      <c r="C193">
        <v>26</v>
      </c>
      <c r="D193">
        <v>15</v>
      </c>
      <c r="E193">
        <v>16</v>
      </c>
      <c r="F193">
        <v>19</v>
      </c>
      <c r="G193">
        <v>23</v>
      </c>
      <c r="H193" s="2">
        <v>10</v>
      </c>
      <c r="I193">
        <v>19</v>
      </c>
      <c r="J193">
        <v>53</v>
      </c>
      <c r="K193">
        <v>37</v>
      </c>
      <c r="L193">
        <v>15</v>
      </c>
      <c r="M193">
        <v>9</v>
      </c>
      <c r="N193">
        <v>23</v>
      </c>
      <c r="O193">
        <v>26</v>
      </c>
    </row>
    <row r="194" spans="1:15" x14ac:dyDescent="0.25">
      <c r="A194">
        <v>13</v>
      </c>
      <c r="B194">
        <v>49</v>
      </c>
      <c r="C194">
        <v>27</v>
      </c>
      <c r="D194">
        <v>16</v>
      </c>
      <c r="E194">
        <v>17</v>
      </c>
      <c r="F194">
        <v>21</v>
      </c>
      <c r="G194">
        <v>25</v>
      </c>
      <c r="H194" s="2">
        <v>11</v>
      </c>
      <c r="I194">
        <v>20</v>
      </c>
      <c r="J194">
        <v>57</v>
      </c>
      <c r="K194">
        <v>42</v>
      </c>
      <c r="L194">
        <v>17</v>
      </c>
      <c r="M194">
        <v>10</v>
      </c>
      <c r="N194">
        <v>25</v>
      </c>
      <c r="O194">
        <v>28</v>
      </c>
    </row>
    <row r="195" spans="1:15" x14ac:dyDescent="0.25">
      <c r="A195">
        <v>14</v>
      </c>
      <c r="B195">
        <v>51</v>
      </c>
      <c r="C195">
        <v>28</v>
      </c>
      <c r="D195">
        <v>17</v>
      </c>
      <c r="E195">
        <v>18</v>
      </c>
      <c r="F195">
        <v>23</v>
      </c>
      <c r="G195">
        <v>26</v>
      </c>
      <c r="H195" s="2">
        <v>12</v>
      </c>
      <c r="J195">
        <v>62</v>
      </c>
      <c r="K195">
        <v>46</v>
      </c>
      <c r="L195">
        <v>18</v>
      </c>
      <c r="M195">
        <v>11</v>
      </c>
      <c r="N195">
        <v>27</v>
      </c>
      <c r="O195">
        <v>30</v>
      </c>
    </row>
    <row r="196" spans="1:15" x14ac:dyDescent="0.25">
      <c r="A196">
        <v>15</v>
      </c>
      <c r="B196">
        <v>54</v>
      </c>
      <c r="C196">
        <v>29</v>
      </c>
      <c r="D196">
        <v>18</v>
      </c>
      <c r="E196">
        <v>19</v>
      </c>
      <c r="F196">
        <v>24</v>
      </c>
      <c r="G196">
        <v>27</v>
      </c>
      <c r="H196" s="2">
        <v>13</v>
      </c>
      <c r="I196">
        <v>21</v>
      </c>
      <c r="J196">
        <v>67</v>
      </c>
      <c r="K196">
        <v>49</v>
      </c>
      <c r="L196">
        <v>19</v>
      </c>
      <c r="M196">
        <v>13</v>
      </c>
      <c r="N196">
        <v>30</v>
      </c>
      <c r="O196">
        <v>32</v>
      </c>
    </row>
    <row r="197" spans="1:15" x14ac:dyDescent="0.25">
      <c r="A197">
        <v>16</v>
      </c>
      <c r="B197">
        <v>56</v>
      </c>
      <c r="C197">
        <v>30</v>
      </c>
      <c r="D197">
        <v>19</v>
      </c>
      <c r="E197">
        <v>20</v>
      </c>
      <c r="F197">
        <v>25</v>
      </c>
      <c r="G197">
        <v>29</v>
      </c>
      <c r="H197" s="2">
        <v>14</v>
      </c>
      <c r="I197">
        <v>22</v>
      </c>
      <c r="J197">
        <v>71</v>
      </c>
      <c r="K197">
        <v>52</v>
      </c>
      <c r="L197">
        <v>20</v>
      </c>
      <c r="M197">
        <v>14</v>
      </c>
      <c r="N197">
        <v>32</v>
      </c>
      <c r="O197">
        <v>34</v>
      </c>
    </row>
    <row r="198" spans="1:15" x14ac:dyDescent="0.25">
      <c r="A198">
        <v>17</v>
      </c>
      <c r="B198">
        <v>59</v>
      </c>
      <c r="C198">
        <v>31</v>
      </c>
      <c r="D198">
        <v>20</v>
      </c>
      <c r="E198">
        <v>21</v>
      </c>
      <c r="F198">
        <v>26</v>
      </c>
      <c r="G198">
        <v>30</v>
      </c>
      <c r="H198" s="2">
        <v>15</v>
      </c>
      <c r="I198">
        <v>23</v>
      </c>
      <c r="J198">
        <v>76</v>
      </c>
      <c r="K198">
        <v>56</v>
      </c>
      <c r="L198">
        <v>22</v>
      </c>
      <c r="M198">
        <v>16</v>
      </c>
      <c r="N198">
        <v>35</v>
      </c>
      <c r="O198">
        <v>37</v>
      </c>
    </row>
    <row r="199" spans="1:15" x14ac:dyDescent="0.25">
      <c r="A199">
        <v>18</v>
      </c>
      <c r="B199">
        <v>61</v>
      </c>
      <c r="C199">
        <v>32</v>
      </c>
      <c r="D199">
        <v>21</v>
      </c>
      <c r="E199">
        <v>22</v>
      </c>
      <c r="F199">
        <v>27</v>
      </c>
      <c r="G199">
        <v>31</v>
      </c>
      <c r="H199" s="2">
        <v>16</v>
      </c>
      <c r="I199">
        <v>24</v>
      </c>
      <c r="J199">
        <v>81</v>
      </c>
      <c r="K199">
        <v>60</v>
      </c>
      <c r="L199">
        <v>23</v>
      </c>
      <c r="M199">
        <v>18</v>
      </c>
      <c r="N199">
        <v>37</v>
      </c>
      <c r="O199">
        <v>39</v>
      </c>
    </row>
    <row r="200" spans="1:15" x14ac:dyDescent="0.25">
      <c r="A200">
        <v>19</v>
      </c>
      <c r="B200">
        <v>64</v>
      </c>
      <c r="C200">
        <v>34</v>
      </c>
      <c r="D200">
        <v>22</v>
      </c>
      <c r="E200">
        <v>25</v>
      </c>
      <c r="F200">
        <v>28</v>
      </c>
      <c r="G200">
        <v>32</v>
      </c>
      <c r="H200" s="2">
        <v>17</v>
      </c>
      <c r="I200">
        <v>25</v>
      </c>
      <c r="J200">
        <v>91</v>
      </c>
      <c r="K200">
        <v>63</v>
      </c>
      <c r="L200">
        <v>24</v>
      </c>
      <c r="M200">
        <v>20</v>
      </c>
      <c r="N200">
        <v>40</v>
      </c>
      <c r="O200">
        <v>43</v>
      </c>
    </row>
    <row r="202" spans="1:15" x14ac:dyDescent="0.25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 s="2">
        <v>0</v>
      </c>
      <c r="I202">
        <v>0</v>
      </c>
      <c r="J202">
        <v>0</v>
      </c>
      <c r="K202">
        <v>0</v>
      </c>
      <c r="L202">
        <v>0</v>
      </c>
    </row>
    <row r="203" spans="1:15" x14ac:dyDescent="0.25">
      <c r="A203">
        <v>2</v>
      </c>
      <c r="B203">
        <v>3</v>
      </c>
      <c r="C203">
        <v>2</v>
      </c>
      <c r="D203">
        <v>2</v>
      </c>
      <c r="E203">
        <v>2</v>
      </c>
      <c r="F203">
        <v>1</v>
      </c>
      <c r="G203">
        <v>2</v>
      </c>
      <c r="H203" s="2">
        <v>1</v>
      </c>
      <c r="I203">
        <v>1</v>
      </c>
      <c r="J203">
        <v>2</v>
      </c>
      <c r="K203">
        <v>2</v>
      </c>
      <c r="L203">
        <v>1</v>
      </c>
      <c r="N203">
        <v>0</v>
      </c>
      <c r="O203">
        <v>0</v>
      </c>
    </row>
    <row r="204" spans="1:15" x14ac:dyDescent="0.25">
      <c r="A204">
        <v>3</v>
      </c>
      <c r="B204">
        <v>7</v>
      </c>
      <c r="C204">
        <v>4</v>
      </c>
      <c r="D204">
        <v>4</v>
      </c>
      <c r="E204">
        <v>4</v>
      </c>
      <c r="F204">
        <v>2</v>
      </c>
      <c r="G204">
        <v>4</v>
      </c>
      <c r="H204" s="2">
        <v>2</v>
      </c>
      <c r="I204">
        <v>2</v>
      </c>
      <c r="J204">
        <v>6</v>
      </c>
      <c r="K204">
        <v>4</v>
      </c>
      <c r="L204">
        <v>2</v>
      </c>
      <c r="M204">
        <v>0</v>
      </c>
      <c r="N204">
        <v>2</v>
      </c>
      <c r="O204">
        <v>2</v>
      </c>
    </row>
    <row r="205" spans="1:15" x14ac:dyDescent="0.25">
      <c r="A205">
        <v>4</v>
      </c>
      <c r="B205">
        <v>13</v>
      </c>
      <c r="C205">
        <v>6</v>
      </c>
      <c r="D205">
        <v>5</v>
      </c>
      <c r="E205">
        <v>6</v>
      </c>
      <c r="F205">
        <v>4</v>
      </c>
      <c r="G205">
        <v>7</v>
      </c>
      <c r="I205">
        <v>3</v>
      </c>
      <c r="J205">
        <v>10</v>
      </c>
      <c r="K205">
        <v>7</v>
      </c>
      <c r="L205">
        <v>3</v>
      </c>
      <c r="M205">
        <v>1</v>
      </c>
      <c r="N205">
        <v>3</v>
      </c>
      <c r="O205">
        <v>4</v>
      </c>
    </row>
    <row r="206" spans="1:15" x14ac:dyDescent="0.25">
      <c r="A206">
        <v>5</v>
      </c>
      <c r="B206">
        <v>19</v>
      </c>
      <c r="C206">
        <v>9</v>
      </c>
      <c r="D206">
        <v>6</v>
      </c>
      <c r="E206">
        <v>8</v>
      </c>
      <c r="F206">
        <v>5</v>
      </c>
      <c r="G206">
        <v>10</v>
      </c>
      <c r="H206" s="2">
        <v>3</v>
      </c>
      <c r="I206">
        <v>5</v>
      </c>
      <c r="J206">
        <v>15</v>
      </c>
      <c r="K206">
        <v>10</v>
      </c>
      <c r="N206">
        <v>4</v>
      </c>
      <c r="O206">
        <v>6</v>
      </c>
    </row>
    <row r="207" spans="1:15" x14ac:dyDescent="0.25">
      <c r="A207">
        <v>6</v>
      </c>
      <c r="B207">
        <v>23</v>
      </c>
      <c r="C207">
        <v>12</v>
      </c>
      <c r="D207">
        <v>7</v>
      </c>
      <c r="E207">
        <v>9</v>
      </c>
      <c r="F207">
        <v>6</v>
      </c>
      <c r="G207">
        <v>12</v>
      </c>
      <c r="H207" s="2">
        <v>4</v>
      </c>
      <c r="I207">
        <v>7</v>
      </c>
      <c r="J207">
        <v>19</v>
      </c>
      <c r="K207">
        <v>13</v>
      </c>
      <c r="L207">
        <v>4</v>
      </c>
      <c r="M207">
        <v>2</v>
      </c>
      <c r="N207">
        <v>6</v>
      </c>
      <c r="O207">
        <v>8</v>
      </c>
    </row>
    <row r="208" spans="1:15" x14ac:dyDescent="0.25">
      <c r="A208">
        <v>7</v>
      </c>
      <c r="B208">
        <v>27</v>
      </c>
      <c r="C208">
        <v>15</v>
      </c>
      <c r="D208">
        <v>8</v>
      </c>
      <c r="E208">
        <v>10</v>
      </c>
      <c r="F208">
        <v>8</v>
      </c>
      <c r="G208">
        <v>14</v>
      </c>
      <c r="H208" s="2">
        <v>5</v>
      </c>
      <c r="I208">
        <v>9</v>
      </c>
      <c r="J208">
        <v>24</v>
      </c>
      <c r="K208">
        <v>17</v>
      </c>
      <c r="L208">
        <v>5</v>
      </c>
      <c r="N208">
        <v>8</v>
      </c>
      <c r="O208">
        <v>10</v>
      </c>
    </row>
    <row r="209" spans="1:15" x14ac:dyDescent="0.25">
      <c r="A209">
        <v>8</v>
      </c>
      <c r="B209">
        <v>31</v>
      </c>
      <c r="C209">
        <v>17</v>
      </c>
      <c r="D209">
        <v>9</v>
      </c>
      <c r="E209">
        <v>11</v>
      </c>
      <c r="F209">
        <v>10</v>
      </c>
      <c r="G209">
        <v>16</v>
      </c>
      <c r="H209" s="2">
        <v>6</v>
      </c>
      <c r="I209">
        <v>10</v>
      </c>
      <c r="J209">
        <v>28</v>
      </c>
      <c r="K209">
        <v>20</v>
      </c>
      <c r="L209">
        <v>6</v>
      </c>
      <c r="M209">
        <v>3</v>
      </c>
      <c r="N209">
        <v>10</v>
      </c>
      <c r="O209">
        <v>12</v>
      </c>
    </row>
    <row r="210" spans="1:15" x14ac:dyDescent="0.25">
      <c r="A210">
        <v>9</v>
      </c>
      <c r="B210">
        <v>34</v>
      </c>
      <c r="C210">
        <v>19</v>
      </c>
      <c r="D210">
        <v>11</v>
      </c>
      <c r="E210">
        <v>12</v>
      </c>
      <c r="F210">
        <v>12</v>
      </c>
      <c r="G210">
        <v>18</v>
      </c>
      <c r="I210">
        <v>12</v>
      </c>
      <c r="J210">
        <v>31</v>
      </c>
      <c r="K210">
        <v>23</v>
      </c>
      <c r="L210">
        <v>7</v>
      </c>
      <c r="M210">
        <v>4</v>
      </c>
      <c r="N210">
        <v>12</v>
      </c>
      <c r="O210">
        <v>15</v>
      </c>
    </row>
    <row r="211" spans="1:15" x14ac:dyDescent="0.25">
      <c r="A211">
        <v>10</v>
      </c>
      <c r="B211">
        <v>37</v>
      </c>
      <c r="C211">
        <v>21</v>
      </c>
      <c r="D211">
        <v>12</v>
      </c>
      <c r="E211">
        <v>13</v>
      </c>
      <c r="F211">
        <v>14</v>
      </c>
      <c r="G211">
        <v>19</v>
      </c>
      <c r="H211" s="2">
        <v>7</v>
      </c>
      <c r="I211">
        <v>14</v>
      </c>
      <c r="J211">
        <v>34</v>
      </c>
      <c r="K211">
        <v>26</v>
      </c>
      <c r="L211">
        <v>8</v>
      </c>
      <c r="M211">
        <v>5</v>
      </c>
      <c r="N211">
        <v>14</v>
      </c>
      <c r="O211">
        <v>18</v>
      </c>
    </row>
    <row r="212" spans="1:15" x14ac:dyDescent="0.25">
      <c r="A212">
        <v>11</v>
      </c>
      <c r="B212">
        <v>41</v>
      </c>
      <c r="C212">
        <v>23</v>
      </c>
      <c r="D212">
        <v>13</v>
      </c>
      <c r="E212">
        <v>14</v>
      </c>
      <c r="F212">
        <v>16</v>
      </c>
      <c r="G212">
        <v>21</v>
      </c>
      <c r="H212" s="2">
        <v>8</v>
      </c>
      <c r="I212">
        <v>15</v>
      </c>
      <c r="J212">
        <v>39</v>
      </c>
      <c r="K212">
        <v>30</v>
      </c>
      <c r="L212">
        <v>10</v>
      </c>
      <c r="M212">
        <v>6</v>
      </c>
      <c r="N212">
        <v>16</v>
      </c>
      <c r="O212">
        <v>21</v>
      </c>
    </row>
    <row r="213" spans="1:15" x14ac:dyDescent="0.25">
      <c r="A213">
        <v>12</v>
      </c>
      <c r="B213">
        <v>44</v>
      </c>
      <c r="C213">
        <v>24</v>
      </c>
      <c r="D213">
        <v>14</v>
      </c>
      <c r="E213">
        <v>15</v>
      </c>
      <c r="F213">
        <v>18</v>
      </c>
      <c r="G213">
        <v>22</v>
      </c>
      <c r="H213" s="2">
        <v>9</v>
      </c>
      <c r="I213">
        <v>17</v>
      </c>
      <c r="J213">
        <v>44</v>
      </c>
      <c r="K213">
        <v>33</v>
      </c>
      <c r="L213">
        <v>11</v>
      </c>
      <c r="M213">
        <v>7</v>
      </c>
      <c r="N213">
        <v>18</v>
      </c>
      <c r="O213">
        <v>23</v>
      </c>
    </row>
    <row r="214" spans="1:15" x14ac:dyDescent="0.25">
      <c r="A214">
        <v>13</v>
      </c>
      <c r="B214">
        <v>46</v>
      </c>
      <c r="C214">
        <v>26</v>
      </c>
      <c r="D214">
        <v>15</v>
      </c>
      <c r="E214">
        <v>16</v>
      </c>
      <c r="F214">
        <v>19</v>
      </c>
      <c r="G214">
        <v>24</v>
      </c>
      <c r="H214" s="2">
        <v>10</v>
      </c>
      <c r="I214">
        <v>18</v>
      </c>
      <c r="J214">
        <v>49</v>
      </c>
      <c r="K214">
        <v>37</v>
      </c>
      <c r="L214">
        <v>13</v>
      </c>
      <c r="M214">
        <v>8</v>
      </c>
      <c r="N214">
        <v>21</v>
      </c>
      <c r="O214">
        <v>25</v>
      </c>
    </row>
    <row r="215" spans="1:15" x14ac:dyDescent="0.25">
      <c r="A215">
        <v>14</v>
      </c>
      <c r="B215">
        <v>49</v>
      </c>
      <c r="C215">
        <v>27</v>
      </c>
      <c r="D215">
        <v>16</v>
      </c>
      <c r="E215">
        <v>17</v>
      </c>
      <c r="F215">
        <v>21</v>
      </c>
      <c r="G215">
        <v>25</v>
      </c>
      <c r="H215" s="2">
        <v>11</v>
      </c>
      <c r="I215">
        <v>19</v>
      </c>
      <c r="J215">
        <v>53</v>
      </c>
      <c r="K215">
        <v>42</v>
      </c>
      <c r="L215">
        <v>15</v>
      </c>
      <c r="M215">
        <v>9</v>
      </c>
      <c r="N215">
        <v>23</v>
      </c>
      <c r="O215">
        <v>28</v>
      </c>
    </row>
    <row r="216" spans="1:15" x14ac:dyDescent="0.25">
      <c r="A216">
        <v>15</v>
      </c>
      <c r="B216">
        <v>51</v>
      </c>
      <c r="C216">
        <v>28</v>
      </c>
      <c r="D216">
        <v>17</v>
      </c>
      <c r="E216">
        <v>18</v>
      </c>
      <c r="F216">
        <v>23</v>
      </c>
      <c r="G216">
        <v>26</v>
      </c>
      <c r="H216" s="2">
        <v>12</v>
      </c>
      <c r="I216">
        <v>20</v>
      </c>
      <c r="J216">
        <v>57</v>
      </c>
      <c r="K216">
        <v>46</v>
      </c>
      <c r="L216">
        <v>17</v>
      </c>
      <c r="M216">
        <v>10</v>
      </c>
      <c r="N216">
        <v>25</v>
      </c>
      <c r="O216">
        <v>30</v>
      </c>
    </row>
    <row r="217" spans="1:15" x14ac:dyDescent="0.25">
      <c r="A217">
        <v>16</v>
      </c>
      <c r="B217">
        <v>54</v>
      </c>
      <c r="C217">
        <v>29</v>
      </c>
      <c r="D217">
        <v>18</v>
      </c>
      <c r="E217">
        <v>19</v>
      </c>
      <c r="F217">
        <v>24</v>
      </c>
      <c r="G217">
        <v>27</v>
      </c>
      <c r="H217" s="2">
        <v>13</v>
      </c>
      <c r="I217">
        <v>21</v>
      </c>
      <c r="J217">
        <v>62</v>
      </c>
      <c r="K217">
        <v>50</v>
      </c>
      <c r="L217">
        <v>18</v>
      </c>
      <c r="M217">
        <v>11</v>
      </c>
      <c r="N217">
        <v>27</v>
      </c>
      <c r="O217">
        <v>32</v>
      </c>
    </row>
    <row r="218" spans="1:15" x14ac:dyDescent="0.25">
      <c r="A218">
        <v>17</v>
      </c>
      <c r="B218">
        <v>56</v>
      </c>
      <c r="C218">
        <v>30</v>
      </c>
      <c r="D218">
        <v>19</v>
      </c>
      <c r="E218">
        <v>20</v>
      </c>
      <c r="F218">
        <v>25</v>
      </c>
      <c r="G218">
        <v>29</v>
      </c>
      <c r="H218" s="2">
        <v>14</v>
      </c>
      <c r="I218">
        <v>22</v>
      </c>
      <c r="J218">
        <v>67</v>
      </c>
      <c r="K218">
        <v>53</v>
      </c>
      <c r="L218">
        <v>20</v>
      </c>
      <c r="M218">
        <v>13</v>
      </c>
      <c r="N218">
        <v>30</v>
      </c>
      <c r="O218">
        <v>34</v>
      </c>
    </row>
    <row r="219" spans="1:15" x14ac:dyDescent="0.25">
      <c r="A219">
        <v>18</v>
      </c>
      <c r="B219">
        <v>59</v>
      </c>
      <c r="C219">
        <v>31</v>
      </c>
      <c r="D219">
        <v>20</v>
      </c>
      <c r="E219">
        <v>22</v>
      </c>
      <c r="F219">
        <v>26</v>
      </c>
      <c r="G219">
        <v>30</v>
      </c>
      <c r="H219" s="2">
        <v>15</v>
      </c>
      <c r="I219">
        <v>23</v>
      </c>
      <c r="J219">
        <v>71</v>
      </c>
      <c r="K219">
        <v>56</v>
      </c>
      <c r="L219">
        <v>22</v>
      </c>
      <c r="M219">
        <v>15</v>
      </c>
      <c r="N219">
        <v>32</v>
      </c>
      <c r="O219">
        <v>36</v>
      </c>
    </row>
    <row r="220" spans="1:15" x14ac:dyDescent="0.25">
      <c r="A220">
        <v>19</v>
      </c>
      <c r="B220">
        <v>61</v>
      </c>
      <c r="C220">
        <v>33</v>
      </c>
      <c r="D220">
        <v>21</v>
      </c>
      <c r="E220">
        <v>24</v>
      </c>
      <c r="F220">
        <v>27</v>
      </c>
      <c r="G220">
        <v>31</v>
      </c>
      <c r="H220" s="2">
        <v>16</v>
      </c>
      <c r="I220">
        <v>24</v>
      </c>
      <c r="J220">
        <v>76</v>
      </c>
      <c r="K220">
        <v>60</v>
      </c>
      <c r="L220">
        <v>23</v>
      </c>
      <c r="M220">
        <v>18</v>
      </c>
      <c r="N220">
        <v>35</v>
      </c>
      <c r="O220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0657-2C90-48F5-ACAA-B74D56DF47F6}">
  <dimension ref="A1:G111"/>
  <sheetViews>
    <sheetView workbookViewId="0">
      <selection activeCell="G120" sqref="G120"/>
    </sheetView>
  </sheetViews>
  <sheetFormatPr defaultColWidth="8.7109375" defaultRowHeight="15" x14ac:dyDescent="0.25"/>
  <sheetData>
    <row r="1" spans="1:7" x14ac:dyDescent="0.25">
      <c r="A1" t="s">
        <v>19</v>
      </c>
      <c r="D1" s="30">
        <v>0.9</v>
      </c>
      <c r="E1" s="30"/>
      <c r="F1" s="30">
        <v>0.95</v>
      </c>
      <c r="G1" s="30"/>
    </row>
    <row r="2" spans="1:7" x14ac:dyDescent="0.25">
      <c r="A2" t="s">
        <v>18</v>
      </c>
      <c r="B2" t="s">
        <v>20</v>
      </c>
      <c r="C2" t="s">
        <v>21</v>
      </c>
      <c r="D2" t="s">
        <v>6</v>
      </c>
      <c r="E2" t="s">
        <v>7</v>
      </c>
      <c r="F2" t="s">
        <v>6</v>
      </c>
      <c r="G2" t="s">
        <v>7</v>
      </c>
    </row>
    <row r="3" spans="1:7" x14ac:dyDescent="0.25">
      <c r="A3">
        <v>6</v>
      </c>
      <c r="B3">
        <v>40</v>
      </c>
      <c r="C3" s="18" t="s">
        <v>67</v>
      </c>
      <c r="F3">
        <v>37</v>
      </c>
      <c r="G3">
        <v>49</v>
      </c>
    </row>
    <row r="4" spans="1:7" x14ac:dyDescent="0.25">
      <c r="A4">
        <v>7</v>
      </c>
      <c r="B4">
        <v>43</v>
      </c>
      <c r="C4" s="18" t="s">
        <v>67</v>
      </c>
      <c r="F4">
        <v>40</v>
      </c>
      <c r="G4">
        <v>52</v>
      </c>
    </row>
    <row r="5" spans="1:7" x14ac:dyDescent="0.25">
      <c r="A5">
        <v>8</v>
      </c>
      <c r="B5">
        <v>46</v>
      </c>
      <c r="C5" s="18" t="s">
        <v>67</v>
      </c>
      <c r="F5">
        <v>42</v>
      </c>
      <c r="G5">
        <v>54</v>
      </c>
    </row>
    <row r="6" spans="1:7" x14ac:dyDescent="0.25">
      <c r="A6">
        <v>9</v>
      </c>
      <c r="B6">
        <v>49</v>
      </c>
      <c r="C6" s="18" t="s">
        <v>67</v>
      </c>
      <c r="F6">
        <v>45</v>
      </c>
      <c r="G6">
        <v>57</v>
      </c>
    </row>
    <row r="7" spans="1:7" x14ac:dyDescent="0.25">
      <c r="A7">
        <v>10</v>
      </c>
      <c r="B7">
        <v>52</v>
      </c>
      <c r="C7">
        <v>0.1</v>
      </c>
      <c r="F7">
        <v>48</v>
      </c>
      <c r="G7">
        <v>60</v>
      </c>
    </row>
    <row r="8" spans="1:7" x14ac:dyDescent="0.25">
      <c r="A8">
        <v>11</v>
      </c>
      <c r="B8">
        <v>55</v>
      </c>
      <c r="C8">
        <v>0.1</v>
      </c>
      <c r="F8">
        <v>51</v>
      </c>
      <c r="G8">
        <v>63</v>
      </c>
    </row>
    <row r="9" spans="1:7" x14ac:dyDescent="0.25">
      <c r="A9">
        <v>12</v>
      </c>
      <c r="B9">
        <v>56</v>
      </c>
      <c r="C9">
        <v>0.2</v>
      </c>
      <c r="F9">
        <v>52</v>
      </c>
      <c r="G9">
        <v>64</v>
      </c>
    </row>
    <row r="10" spans="1:7" x14ac:dyDescent="0.25">
      <c r="A10">
        <v>13</v>
      </c>
      <c r="B10">
        <v>57</v>
      </c>
      <c r="C10">
        <v>0.2</v>
      </c>
      <c r="F10">
        <v>53</v>
      </c>
      <c r="G10">
        <v>65</v>
      </c>
    </row>
    <row r="11" spans="1:7" x14ac:dyDescent="0.25">
      <c r="A11">
        <v>14</v>
      </c>
      <c r="B11">
        <v>58</v>
      </c>
      <c r="C11">
        <v>0.3</v>
      </c>
      <c r="F11">
        <v>54</v>
      </c>
      <c r="G11">
        <v>66</v>
      </c>
    </row>
    <row r="12" spans="1:7" x14ac:dyDescent="0.25">
      <c r="A12">
        <v>15</v>
      </c>
      <c r="B12">
        <v>59</v>
      </c>
      <c r="C12">
        <v>0.3</v>
      </c>
      <c r="F12">
        <v>55</v>
      </c>
      <c r="G12">
        <v>67</v>
      </c>
    </row>
    <row r="13" spans="1:7" x14ac:dyDescent="0.25">
      <c r="A13">
        <v>16</v>
      </c>
      <c r="B13">
        <v>60</v>
      </c>
      <c r="C13">
        <v>0.4</v>
      </c>
      <c r="F13">
        <v>56</v>
      </c>
      <c r="G13">
        <v>68</v>
      </c>
    </row>
    <row r="14" spans="1:7" x14ac:dyDescent="0.25">
      <c r="A14">
        <v>17</v>
      </c>
      <c r="B14">
        <v>61</v>
      </c>
      <c r="C14">
        <v>0.5</v>
      </c>
      <c r="F14">
        <v>57</v>
      </c>
      <c r="G14">
        <v>69</v>
      </c>
    </row>
    <row r="15" spans="1:7" x14ac:dyDescent="0.25">
      <c r="A15">
        <v>18</v>
      </c>
      <c r="B15">
        <v>62</v>
      </c>
      <c r="C15">
        <v>1</v>
      </c>
      <c r="F15">
        <v>58</v>
      </c>
      <c r="G15">
        <v>70</v>
      </c>
    </row>
    <row r="16" spans="1:7" x14ac:dyDescent="0.25">
      <c r="A16">
        <v>19</v>
      </c>
      <c r="B16">
        <v>63</v>
      </c>
      <c r="C16">
        <v>1</v>
      </c>
      <c r="F16">
        <v>59</v>
      </c>
      <c r="G16">
        <v>71</v>
      </c>
    </row>
    <row r="17" spans="1:7" x14ac:dyDescent="0.25">
      <c r="A17">
        <v>20</v>
      </c>
      <c r="B17">
        <v>64</v>
      </c>
      <c r="C17">
        <v>1</v>
      </c>
      <c r="F17">
        <v>60</v>
      </c>
      <c r="G17">
        <v>72</v>
      </c>
    </row>
    <row r="18" spans="1:7" x14ac:dyDescent="0.25">
      <c r="A18">
        <v>21</v>
      </c>
      <c r="B18">
        <v>65</v>
      </c>
      <c r="C18">
        <v>1</v>
      </c>
      <c r="F18">
        <v>61</v>
      </c>
      <c r="G18">
        <v>73</v>
      </c>
    </row>
    <row r="19" spans="1:7" x14ac:dyDescent="0.25">
      <c r="A19">
        <v>22</v>
      </c>
      <c r="B19">
        <v>66</v>
      </c>
      <c r="C19">
        <v>1</v>
      </c>
      <c r="F19">
        <v>62</v>
      </c>
      <c r="G19">
        <v>74</v>
      </c>
    </row>
    <row r="20" spans="1:7" x14ac:dyDescent="0.25">
      <c r="A20">
        <v>23</v>
      </c>
      <c r="B20">
        <v>66</v>
      </c>
      <c r="C20">
        <v>1</v>
      </c>
      <c r="F20">
        <v>62</v>
      </c>
      <c r="G20">
        <v>74</v>
      </c>
    </row>
    <row r="21" spans="1:7" x14ac:dyDescent="0.25">
      <c r="A21">
        <v>24</v>
      </c>
      <c r="B21">
        <v>67</v>
      </c>
      <c r="C21">
        <v>1</v>
      </c>
      <c r="F21">
        <v>63</v>
      </c>
      <c r="G21">
        <v>74</v>
      </c>
    </row>
    <row r="22" spans="1:7" x14ac:dyDescent="0.25">
      <c r="A22">
        <v>25</v>
      </c>
      <c r="B22">
        <v>68</v>
      </c>
      <c r="C22">
        <v>2</v>
      </c>
      <c r="F22">
        <v>63</v>
      </c>
      <c r="G22">
        <v>75</v>
      </c>
    </row>
    <row r="23" spans="1:7" x14ac:dyDescent="0.25">
      <c r="A23">
        <v>26</v>
      </c>
      <c r="B23">
        <v>69</v>
      </c>
      <c r="C23">
        <v>2</v>
      </c>
      <c r="F23">
        <v>64</v>
      </c>
      <c r="G23">
        <v>76</v>
      </c>
    </row>
    <row r="24" spans="1:7" x14ac:dyDescent="0.25">
      <c r="A24">
        <v>27</v>
      </c>
      <c r="B24">
        <v>69</v>
      </c>
      <c r="C24">
        <v>2</v>
      </c>
      <c r="F24">
        <v>64</v>
      </c>
      <c r="G24">
        <v>76</v>
      </c>
    </row>
    <row r="25" spans="1:7" x14ac:dyDescent="0.25">
      <c r="A25">
        <v>28</v>
      </c>
      <c r="B25">
        <v>70</v>
      </c>
      <c r="C25">
        <v>2</v>
      </c>
      <c r="F25">
        <v>65</v>
      </c>
      <c r="G25">
        <v>77</v>
      </c>
    </row>
    <row r="26" spans="1:7" x14ac:dyDescent="0.25">
      <c r="A26">
        <v>29</v>
      </c>
      <c r="B26">
        <v>70</v>
      </c>
      <c r="C26">
        <v>2</v>
      </c>
      <c r="F26">
        <v>65</v>
      </c>
      <c r="G26">
        <v>77</v>
      </c>
    </row>
    <row r="27" spans="1:7" x14ac:dyDescent="0.25">
      <c r="A27">
        <v>30</v>
      </c>
      <c r="B27">
        <v>71</v>
      </c>
      <c r="C27">
        <v>3</v>
      </c>
      <c r="F27">
        <v>66</v>
      </c>
      <c r="G27">
        <v>78</v>
      </c>
    </row>
    <row r="28" spans="1:7" x14ac:dyDescent="0.25">
      <c r="A28">
        <v>31</v>
      </c>
      <c r="B28">
        <v>72</v>
      </c>
      <c r="C28">
        <v>3</v>
      </c>
      <c r="F28">
        <v>67</v>
      </c>
      <c r="G28">
        <v>79</v>
      </c>
    </row>
    <row r="29" spans="1:7" x14ac:dyDescent="0.25">
      <c r="A29">
        <v>32</v>
      </c>
      <c r="B29">
        <v>72</v>
      </c>
      <c r="C29">
        <v>3</v>
      </c>
      <c r="F29">
        <v>67</v>
      </c>
      <c r="G29">
        <v>79</v>
      </c>
    </row>
    <row r="30" spans="1:7" x14ac:dyDescent="0.25">
      <c r="A30">
        <v>33</v>
      </c>
      <c r="B30">
        <v>73</v>
      </c>
      <c r="C30">
        <v>4</v>
      </c>
      <c r="F30">
        <v>68</v>
      </c>
      <c r="G30">
        <v>80</v>
      </c>
    </row>
    <row r="31" spans="1:7" x14ac:dyDescent="0.25">
      <c r="A31">
        <v>34</v>
      </c>
      <c r="B31">
        <v>73</v>
      </c>
      <c r="C31">
        <v>4</v>
      </c>
      <c r="F31">
        <v>68</v>
      </c>
      <c r="G31">
        <v>80</v>
      </c>
    </row>
    <row r="32" spans="1:7" x14ac:dyDescent="0.25">
      <c r="A32">
        <v>35</v>
      </c>
      <c r="B32">
        <v>74</v>
      </c>
      <c r="C32">
        <v>4</v>
      </c>
      <c r="F32">
        <v>69</v>
      </c>
      <c r="G32">
        <v>81</v>
      </c>
    </row>
    <row r="33" spans="1:7" x14ac:dyDescent="0.25">
      <c r="A33">
        <v>36</v>
      </c>
      <c r="B33">
        <v>74</v>
      </c>
      <c r="C33">
        <v>4</v>
      </c>
      <c r="F33">
        <v>70</v>
      </c>
      <c r="G33">
        <v>82</v>
      </c>
    </row>
    <row r="34" spans="1:7" x14ac:dyDescent="0.25">
      <c r="A34">
        <v>37</v>
      </c>
      <c r="B34">
        <v>75</v>
      </c>
      <c r="C34">
        <v>5</v>
      </c>
      <c r="F34">
        <v>70</v>
      </c>
      <c r="G34">
        <v>82</v>
      </c>
    </row>
    <row r="35" spans="1:7" x14ac:dyDescent="0.25">
      <c r="A35">
        <v>38</v>
      </c>
      <c r="B35">
        <v>76</v>
      </c>
      <c r="C35">
        <v>5</v>
      </c>
      <c r="F35">
        <v>71</v>
      </c>
      <c r="G35">
        <v>83</v>
      </c>
    </row>
    <row r="36" spans="1:7" x14ac:dyDescent="0.25">
      <c r="A36">
        <v>39</v>
      </c>
      <c r="B36">
        <v>77</v>
      </c>
      <c r="C36">
        <v>6</v>
      </c>
      <c r="F36">
        <v>72</v>
      </c>
      <c r="G36">
        <v>84</v>
      </c>
    </row>
    <row r="37" spans="1:7" x14ac:dyDescent="0.25">
      <c r="A37">
        <v>40</v>
      </c>
      <c r="B37">
        <v>78</v>
      </c>
      <c r="C37">
        <v>7</v>
      </c>
      <c r="F37">
        <v>73</v>
      </c>
      <c r="G37">
        <v>85</v>
      </c>
    </row>
    <row r="38" spans="1:7" x14ac:dyDescent="0.25">
      <c r="A38">
        <v>41</v>
      </c>
      <c r="B38">
        <v>79</v>
      </c>
      <c r="C38">
        <v>8</v>
      </c>
      <c r="F38">
        <v>74</v>
      </c>
      <c r="G38">
        <v>86</v>
      </c>
    </row>
    <row r="39" spans="1:7" x14ac:dyDescent="0.25">
      <c r="A39">
        <v>42</v>
      </c>
      <c r="B39">
        <v>80</v>
      </c>
      <c r="C39">
        <v>9</v>
      </c>
      <c r="F39">
        <v>75</v>
      </c>
      <c r="G39">
        <v>87</v>
      </c>
    </row>
    <row r="40" spans="1:7" x14ac:dyDescent="0.25">
      <c r="A40">
        <v>43</v>
      </c>
      <c r="B40">
        <v>81</v>
      </c>
      <c r="C40">
        <v>10</v>
      </c>
      <c r="F40">
        <v>76</v>
      </c>
      <c r="G40">
        <v>87</v>
      </c>
    </row>
    <row r="41" spans="1:7" x14ac:dyDescent="0.25">
      <c r="A41">
        <v>44</v>
      </c>
      <c r="B41">
        <v>82</v>
      </c>
      <c r="C41">
        <v>12</v>
      </c>
      <c r="F41">
        <v>76</v>
      </c>
      <c r="G41">
        <v>88</v>
      </c>
    </row>
    <row r="42" spans="1:7" x14ac:dyDescent="0.25">
      <c r="A42">
        <v>45</v>
      </c>
      <c r="B42">
        <v>83</v>
      </c>
      <c r="C42">
        <v>13</v>
      </c>
      <c r="F42">
        <v>78</v>
      </c>
      <c r="G42">
        <v>89</v>
      </c>
    </row>
    <row r="43" spans="1:7" x14ac:dyDescent="0.25">
      <c r="A43">
        <v>46</v>
      </c>
      <c r="B43">
        <v>84</v>
      </c>
      <c r="C43">
        <v>14</v>
      </c>
      <c r="F43">
        <v>79</v>
      </c>
      <c r="G43">
        <v>90</v>
      </c>
    </row>
    <row r="44" spans="1:7" x14ac:dyDescent="0.25">
      <c r="A44">
        <v>47</v>
      </c>
      <c r="B44">
        <v>85</v>
      </c>
      <c r="C44">
        <v>16</v>
      </c>
      <c r="F44">
        <v>80</v>
      </c>
      <c r="G44">
        <v>92</v>
      </c>
    </row>
    <row r="45" spans="1:7" x14ac:dyDescent="0.25">
      <c r="A45">
        <v>48</v>
      </c>
      <c r="B45">
        <v>86</v>
      </c>
      <c r="C45">
        <v>18</v>
      </c>
      <c r="F45">
        <v>81</v>
      </c>
      <c r="G45">
        <v>93</v>
      </c>
    </row>
    <row r="46" spans="1:7" x14ac:dyDescent="0.25">
      <c r="A46">
        <v>49</v>
      </c>
      <c r="B46">
        <v>87</v>
      </c>
      <c r="C46">
        <v>19</v>
      </c>
      <c r="F46">
        <v>82</v>
      </c>
      <c r="G46">
        <v>94</v>
      </c>
    </row>
    <row r="47" spans="1:7" x14ac:dyDescent="0.25">
      <c r="A47">
        <v>50</v>
      </c>
      <c r="B47">
        <v>88</v>
      </c>
      <c r="C47">
        <v>21</v>
      </c>
      <c r="F47">
        <v>83</v>
      </c>
      <c r="G47">
        <v>95</v>
      </c>
    </row>
    <row r="48" spans="1:7" x14ac:dyDescent="0.25">
      <c r="A48">
        <v>51</v>
      </c>
      <c r="B48">
        <v>89</v>
      </c>
      <c r="C48">
        <v>23</v>
      </c>
      <c r="F48">
        <v>84</v>
      </c>
      <c r="G48">
        <v>96</v>
      </c>
    </row>
    <row r="49" spans="1:7" x14ac:dyDescent="0.25">
      <c r="A49">
        <v>52</v>
      </c>
      <c r="B49">
        <v>90</v>
      </c>
      <c r="C49">
        <v>25</v>
      </c>
      <c r="F49">
        <v>85</v>
      </c>
      <c r="G49">
        <v>97</v>
      </c>
    </row>
    <row r="50" spans="1:7" x14ac:dyDescent="0.25">
      <c r="A50">
        <v>53</v>
      </c>
      <c r="B50">
        <v>91</v>
      </c>
      <c r="C50">
        <v>27</v>
      </c>
      <c r="F50">
        <v>86</v>
      </c>
      <c r="G50">
        <v>98</v>
      </c>
    </row>
    <row r="51" spans="1:7" x14ac:dyDescent="0.25">
      <c r="A51">
        <v>54</v>
      </c>
      <c r="B51">
        <v>92</v>
      </c>
      <c r="C51">
        <v>30</v>
      </c>
      <c r="F51">
        <v>87</v>
      </c>
      <c r="G51">
        <v>99</v>
      </c>
    </row>
    <row r="52" spans="1:7" x14ac:dyDescent="0.25">
      <c r="A52">
        <v>55</v>
      </c>
      <c r="B52">
        <v>93</v>
      </c>
      <c r="C52">
        <v>32</v>
      </c>
      <c r="F52">
        <v>88</v>
      </c>
      <c r="G52">
        <v>100</v>
      </c>
    </row>
    <row r="53" spans="1:7" x14ac:dyDescent="0.25">
      <c r="A53">
        <v>56</v>
      </c>
      <c r="B53">
        <v>95</v>
      </c>
      <c r="C53">
        <v>37</v>
      </c>
      <c r="F53">
        <v>89</v>
      </c>
      <c r="G53">
        <v>101</v>
      </c>
    </row>
    <row r="54" spans="1:7" x14ac:dyDescent="0.25">
      <c r="A54">
        <v>57</v>
      </c>
      <c r="B54">
        <v>95</v>
      </c>
      <c r="C54">
        <v>37</v>
      </c>
      <c r="F54">
        <v>90</v>
      </c>
      <c r="G54">
        <v>102</v>
      </c>
    </row>
    <row r="55" spans="1:7" x14ac:dyDescent="0.25">
      <c r="A55">
        <v>58</v>
      </c>
      <c r="B55">
        <v>96</v>
      </c>
      <c r="C55">
        <v>39</v>
      </c>
      <c r="F55">
        <v>91</v>
      </c>
      <c r="G55">
        <v>103</v>
      </c>
    </row>
    <row r="56" spans="1:7" x14ac:dyDescent="0.25">
      <c r="A56">
        <v>59</v>
      </c>
      <c r="B56">
        <v>98</v>
      </c>
      <c r="C56">
        <v>45</v>
      </c>
      <c r="F56">
        <v>92</v>
      </c>
      <c r="G56">
        <v>104</v>
      </c>
    </row>
    <row r="57" spans="1:7" x14ac:dyDescent="0.25">
      <c r="A57">
        <v>60</v>
      </c>
      <c r="B57">
        <v>99</v>
      </c>
      <c r="C57">
        <v>47</v>
      </c>
      <c r="F57">
        <v>93</v>
      </c>
      <c r="G57">
        <v>105</v>
      </c>
    </row>
    <row r="58" spans="1:7" x14ac:dyDescent="0.25">
      <c r="A58">
        <v>61</v>
      </c>
      <c r="B58">
        <v>100</v>
      </c>
      <c r="C58">
        <v>50</v>
      </c>
      <c r="F58">
        <v>94</v>
      </c>
      <c r="G58">
        <v>106</v>
      </c>
    </row>
    <row r="59" spans="1:7" x14ac:dyDescent="0.25">
      <c r="A59">
        <v>62</v>
      </c>
      <c r="B59">
        <v>102</v>
      </c>
      <c r="C59">
        <v>55</v>
      </c>
      <c r="F59">
        <v>96</v>
      </c>
      <c r="G59">
        <v>107</v>
      </c>
    </row>
    <row r="60" spans="1:7" x14ac:dyDescent="0.25">
      <c r="A60">
        <v>63</v>
      </c>
      <c r="B60">
        <v>103</v>
      </c>
      <c r="C60">
        <v>58</v>
      </c>
      <c r="F60">
        <v>97</v>
      </c>
      <c r="G60">
        <v>108</v>
      </c>
    </row>
    <row r="61" spans="1:7" x14ac:dyDescent="0.25">
      <c r="A61">
        <v>64</v>
      </c>
      <c r="B61">
        <v>104</v>
      </c>
      <c r="C61">
        <v>61</v>
      </c>
      <c r="F61">
        <v>98</v>
      </c>
      <c r="G61">
        <v>110</v>
      </c>
    </row>
    <row r="62" spans="1:7" x14ac:dyDescent="0.25">
      <c r="A62">
        <v>65</v>
      </c>
      <c r="B62">
        <v>105</v>
      </c>
      <c r="C62">
        <v>63</v>
      </c>
      <c r="F62">
        <v>99</v>
      </c>
      <c r="G62">
        <v>111</v>
      </c>
    </row>
    <row r="63" spans="1:7" x14ac:dyDescent="0.25">
      <c r="A63">
        <v>66</v>
      </c>
      <c r="B63">
        <v>106</v>
      </c>
      <c r="C63">
        <v>65</v>
      </c>
      <c r="F63">
        <v>100</v>
      </c>
      <c r="G63">
        <v>112</v>
      </c>
    </row>
    <row r="64" spans="1:7" x14ac:dyDescent="0.25">
      <c r="A64">
        <v>67</v>
      </c>
      <c r="B64">
        <v>107</v>
      </c>
      <c r="C64">
        <v>68</v>
      </c>
      <c r="F64">
        <v>101</v>
      </c>
      <c r="G64">
        <v>113</v>
      </c>
    </row>
    <row r="65" spans="1:7" x14ac:dyDescent="0.25">
      <c r="A65">
        <v>68</v>
      </c>
      <c r="B65">
        <v>108</v>
      </c>
      <c r="C65">
        <v>70</v>
      </c>
      <c r="F65">
        <v>102</v>
      </c>
      <c r="G65">
        <v>114</v>
      </c>
    </row>
    <row r="66" spans="1:7" x14ac:dyDescent="0.25">
      <c r="A66">
        <v>69</v>
      </c>
      <c r="B66">
        <v>110</v>
      </c>
      <c r="C66">
        <v>75</v>
      </c>
      <c r="F66">
        <v>103</v>
      </c>
      <c r="G66">
        <v>115</v>
      </c>
    </row>
    <row r="67" spans="1:7" x14ac:dyDescent="0.25">
      <c r="A67">
        <v>70</v>
      </c>
      <c r="B67">
        <v>111</v>
      </c>
      <c r="C67">
        <v>77</v>
      </c>
      <c r="F67">
        <v>104</v>
      </c>
      <c r="G67">
        <v>116</v>
      </c>
    </row>
    <row r="68" spans="1:7" x14ac:dyDescent="0.25">
      <c r="A68">
        <v>71</v>
      </c>
      <c r="B68">
        <v>112</v>
      </c>
      <c r="C68">
        <v>79</v>
      </c>
      <c r="F68">
        <v>106</v>
      </c>
      <c r="G68">
        <v>118</v>
      </c>
    </row>
    <row r="69" spans="1:7" x14ac:dyDescent="0.25">
      <c r="A69">
        <v>72</v>
      </c>
      <c r="B69">
        <v>113</v>
      </c>
      <c r="C69">
        <v>81</v>
      </c>
      <c r="F69">
        <v>107</v>
      </c>
      <c r="G69">
        <v>119</v>
      </c>
    </row>
    <row r="70" spans="1:7" x14ac:dyDescent="0.25">
      <c r="A70">
        <v>73</v>
      </c>
      <c r="B70">
        <v>114</v>
      </c>
      <c r="C70">
        <v>82</v>
      </c>
      <c r="F70">
        <v>108</v>
      </c>
      <c r="G70">
        <v>120</v>
      </c>
    </row>
    <row r="71" spans="1:7" x14ac:dyDescent="0.25">
      <c r="A71">
        <v>74</v>
      </c>
      <c r="B71">
        <v>115</v>
      </c>
      <c r="C71">
        <v>84</v>
      </c>
      <c r="F71">
        <v>109</v>
      </c>
      <c r="G71">
        <v>121</v>
      </c>
    </row>
    <row r="72" spans="1:7" x14ac:dyDescent="0.25">
      <c r="A72">
        <v>75</v>
      </c>
      <c r="B72">
        <v>117</v>
      </c>
      <c r="C72">
        <v>87</v>
      </c>
      <c r="F72">
        <v>110</v>
      </c>
      <c r="G72">
        <v>122</v>
      </c>
    </row>
    <row r="73" spans="1:7" x14ac:dyDescent="0.25">
      <c r="A73">
        <v>76</v>
      </c>
      <c r="B73">
        <v>118</v>
      </c>
      <c r="C73">
        <v>88</v>
      </c>
      <c r="F73">
        <v>111</v>
      </c>
      <c r="G73">
        <v>123</v>
      </c>
    </row>
    <row r="74" spans="1:7" x14ac:dyDescent="0.25">
      <c r="A74">
        <v>77</v>
      </c>
      <c r="B74">
        <v>119</v>
      </c>
      <c r="C74">
        <v>90</v>
      </c>
      <c r="F74">
        <v>112</v>
      </c>
      <c r="G74">
        <v>124</v>
      </c>
    </row>
    <row r="75" spans="1:7" x14ac:dyDescent="0.25">
      <c r="A75">
        <v>78</v>
      </c>
      <c r="B75">
        <v>120</v>
      </c>
      <c r="C75">
        <v>91</v>
      </c>
      <c r="F75">
        <v>113</v>
      </c>
      <c r="G75">
        <v>125</v>
      </c>
    </row>
    <row r="76" spans="1:7" x14ac:dyDescent="0.25">
      <c r="A76">
        <v>79</v>
      </c>
      <c r="B76">
        <v>121</v>
      </c>
      <c r="C76">
        <v>92</v>
      </c>
      <c r="F76">
        <v>114</v>
      </c>
      <c r="G76">
        <v>126</v>
      </c>
    </row>
    <row r="77" spans="1:7" x14ac:dyDescent="0.25">
      <c r="A77">
        <v>80</v>
      </c>
      <c r="B77">
        <v>122</v>
      </c>
      <c r="C77">
        <v>93</v>
      </c>
      <c r="F77">
        <v>115</v>
      </c>
      <c r="G77">
        <v>127</v>
      </c>
    </row>
    <row r="78" spans="1:7" x14ac:dyDescent="0.25">
      <c r="A78">
        <v>81</v>
      </c>
      <c r="B78">
        <v>123</v>
      </c>
      <c r="C78">
        <v>94</v>
      </c>
      <c r="F78">
        <v>116</v>
      </c>
      <c r="G78">
        <v>128</v>
      </c>
    </row>
    <row r="79" spans="1:7" x14ac:dyDescent="0.25">
      <c r="A79">
        <v>82</v>
      </c>
      <c r="B79">
        <v>124</v>
      </c>
      <c r="C79">
        <v>95</v>
      </c>
      <c r="F79">
        <v>117</v>
      </c>
      <c r="G79">
        <v>129</v>
      </c>
    </row>
    <row r="80" spans="1:7" x14ac:dyDescent="0.25">
      <c r="A80">
        <v>83</v>
      </c>
      <c r="B80">
        <v>125</v>
      </c>
      <c r="C80">
        <v>95</v>
      </c>
      <c r="F80">
        <v>118</v>
      </c>
      <c r="G80">
        <v>130</v>
      </c>
    </row>
    <row r="81" spans="1:7" x14ac:dyDescent="0.25">
      <c r="A81">
        <v>84</v>
      </c>
      <c r="B81">
        <v>127</v>
      </c>
      <c r="C81">
        <v>96</v>
      </c>
      <c r="F81">
        <v>120</v>
      </c>
      <c r="G81">
        <v>132</v>
      </c>
    </row>
    <row r="82" spans="1:7" x14ac:dyDescent="0.25">
      <c r="A82">
        <v>85</v>
      </c>
      <c r="B82">
        <v>129</v>
      </c>
      <c r="C82">
        <v>97</v>
      </c>
      <c r="F82">
        <v>122</v>
      </c>
      <c r="G82">
        <v>134</v>
      </c>
    </row>
    <row r="83" spans="1:7" x14ac:dyDescent="0.25">
      <c r="A83">
        <v>86</v>
      </c>
      <c r="B83">
        <v>130</v>
      </c>
      <c r="C83">
        <v>98</v>
      </c>
      <c r="F83">
        <v>123</v>
      </c>
      <c r="G83">
        <v>135</v>
      </c>
    </row>
    <row r="84" spans="1:7" x14ac:dyDescent="0.25">
      <c r="A84">
        <v>87</v>
      </c>
      <c r="B84">
        <v>132</v>
      </c>
      <c r="C84">
        <v>99</v>
      </c>
      <c r="F84">
        <v>125</v>
      </c>
      <c r="G84">
        <v>137</v>
      </c>
    </row>
    <row r="85" spans="1:7" x14ac:dyDescent="0.25">
      <c r="A85">
        <v>88</v>
      </c>
      <c r="B85">
        <v>134</v>
      </c>
      <c r="C85">
        <v>99</v>
      </c>
      <c r="F85">
        <v>127</v>
      </c>
      <c r="G85">
        <v>139</v>
      </c>
    </row>
    <row r="86" spans="1:7" x14ac:dyDescent="0.25">
      <c r="A86">
        <v>89</v>
      </c>
      <c r="B86">
        <v>136</v>
      </c>
      <c r="C86">
        <v>99</v>
      </c>
      <c r="F86">
        <v>128</v>
      </c>
      <c r="G86">
        <v>140</v>
      </c>
    </row>
    <row r="87" spans="1:7" x14ac:dyDescent="0.25">
      <c r="A87">
        <v>90</v>
      </c>
      <c r="B87">
        <v>137</v>
      </c>
      <c r="C87">
        <v>99</v>
      </c>
      <c r="F87">
        <v>129</v>
      </c>
      <c r="G87">
        <v>141</v>
      </c>
    </row>
    <row r="88" spans="1:7" x14ac:dyDescent="0.25">
      <c r="A88">
        <v>91</v>
      </c>
      <c r="B88">
        <v>138</v>
      </c>
      <c r="C88">
        <v>99</v>
      </c>
      <c r="F88">
        <v>130</v>
      </c>
      <c r="G88">
        <v>142</v>
      </c>
    </row>
    <row r="89" spans="1:7" x14ac:dyDescent="0.25">
      <c r="A89">
        <v>92</v>
      </c>
      <c r="B89">
        <v>138</v>
      </c>
      <c r="C89">
        <v>99</v>
      </c>
      <c r="F89">
        <v>130</v>
      </c>
      <c r="G89">
        <v>142</v>
      </c>
    </row>
    <row r="90" spans="1:7" x14ac:dyDescent="0.25">
      <c r="A90">
        <v>93</v>
      </c>
      <c r="B90">
        <v>139</v>
      </c>
      <c r="C90">
        <v>99.5</v>
      </c>
      <c r="F90">
        <v>131</v>
      </c>
      <c r="G90">
        <v>143</v>
      </c>
    </row>
    <row r="91" spans="1:7" x14ac:dyDescent="0.25">
      <c r="A91">
        <v>94</v>
      </c>
      <c r="B91">
        <v>141</v>
      </c>
      <c r="C91">
        <v>99.7</v>
      </c>
      <c r="F91">
        <v>133</v>
      </c>
      <c r="G91">
        <v>145</v>
      </c>
    </row>
    <row r="92" spans="1:7" x14ac:dyDescent="0.25">
      <c r="A92">
        <v>95</v>
      </c>
      <c r="B92">
        <v>143</v>
      </c>
      <c r="C92">
        <v>99.8</v>
      </c>
      <c r="F92">
        <v>135</v>
      </c>
      <c r="G92">
        <v>147</v>
      </c>
    </row>
    <row r="93" spans="1:7" x14ac:dyDescent="0.25">
      <c r="A93">
        <v>96</v>
      </c>
      <c r="B93">
        <v>144</v>
      </c>
      <c r="C93">
        <v>99.8</v>
      </c>
      <c r="F93">
        <v>136</v>
      </c>
      <c r="G93">
        <v>148</v>
      </c>
    </row>
    <row r="94" spans="1:7" x14ac:dyDescent="0.25">
      <c r="A94">
        <v>97</v>
      </c>
      <c r="B94">
        <v>145</v>
      </c>
      <c r="C94">
        <v>99.9</v>
      </c>
      <c r="F94">
        <v>137</v>
      </c>
      <c r="G94">
        <v>149</v>
      </c>
    </row>
    <row r="95" spans="1:7" x14ac:dyDescent="0.25">
      <c r="A95">
        <v>98</v>
      </c>
      <c r="B95">
        <v>145</v>
      </c>
      <c r="C95">
        <v>99.9</v>
      </c>
      <c r="F95">
        <v>137</v>
      </c>
      <c r="G95">
        <v>149</v>
      </c>
    </row>
    <row r="96" spans="1:7" x14ac:dyDescent="0.25">
      <c r="A96">
        <v>99</v>
      </c>
      <c r="B96">
        <v>146</v>
      </c>
      <c r="C96">
        <v>99.9</v>
      </c>
      <c r="F96">
        <v>138</v>
      </c>
      <c r="G96">
        <v>150</v>
      </c>
    </row>
    <row r="97" spans="1:7" x14ac:dyDescent="0.25">
      <c r="A97">
        <v>100</v>
      </c>
      <c r="B97">
        <v>146</v>
      </c>
      <c r="C97">
        <v>99.9</v>
      </c>
      <c r="F97">
        <v>138</v>
      </c>
      <c r="G97">
        <v>150</v>
      </c>
    </row>
    <row r="98" spans="1:7" x14ac:dyDescent="0.25">
      <c r="A98">
        <v>101</v>
      </c>
      <c r="B98">
        <v>147</v>
      </c>
      <c r="C98">
        <v>99.9</v>
      </c>
      <c r="F98">
        <v>139</v>
      </c>
      <c r="G98">
        <v>151</v>
      </c>
    </row>
    <row r="99" spans="1:7" x14ac:dyDescent="0.25">
      <c r="A99">
        <v>102</v>
      </c>
      <c r="B99">
        <v>147</v>
      </c>
      <c r="C99">
        <v>99.9</v>
      </c>
      <c r="F99">
        <v>139</v>
      </c>
      <c r="G99">
        <v>151</v>
      </c>
    </row>
    <row r="100" spans="1:7" x14ac:dyDescent="0.25">
      <c r="A100">
        <v>103</v>
      </c>
      <c r="B100">
        <v>148</v>
      </c>
      <c r="C100">
        <v>99.9</v>
      </c>
      <c r="F100">
        <v>140</v>
      </c>
      <c r="G100">
        <v>152</v>
      </c>
    </row>
    <row r="101" spans="1:7" x14ac:dyDescent="0.25">
      <c r="A101">
        <v>104</v>
      </c>
      <c r="B101">
        <v>148</v>
      </c>
      <c r="C101">
        <v>99.9</v>
      </c>
      <c r="F101">
        <v>140</v>
      </c>
      <c r="G101">
        <v>152</v>
      </c>
    </row>
    <row r="102" spans="1:7" x14ac:dyDescent="0.25">
      <c r="A102">
        <v>105</v>
      </c>
      <c r="B102">
        <v>150</v>
      </c>
      <c r="C102" s="18" t="s">
        <v>68</v>
      </c>
      <c r="F102">
        <v>142</v>
      </c>
      <c r="G102">
        <v>154</v>
      </c>
    </row>
    <row r="103" spans="1:7" x14ac:dyDescent="0.25">
      <c r="A103">
        <v>106</v>
      </c>
      <c r="B103">
        <v>152</v>
      </c>
      <c r="C103" s="18" t="s">
        <v>68</v>
      </c>
      <c r="F103">
        <v>144</v>
      </c>
      <c r="G103">
        <v>156</v>
      </c>
    </row>
    <row r="104" spans="1:7" x14ac:dyDescent="0.25">
      <c r="A104">
        <v>107</v>
      </c>
      <c r="B104">
        <v>154</v>
      </c>
      <c r="C104" s="18" t="s">
        <v>68</v>
      </c>
      <c r="F104">
        <v>146</v>
      </c>
      <c r="G104">
        <v>158</v>
      </c>
    </row>
    <row r="105" spans="1:7" x14ac:dyDescent="0.25">
      <c r="A105">
        <v>108</v>
      </c>
      <c r="B105">
        <v>156</v>
      </c>
      <c r="C105" s="18" t="s">
        <v>68</v>
      </c>
      <c r="F105">
        <v>147</v>
      </c>
      <c r="G105">
        <v>159</v>
      </c>
    </row>
    <row r="106" spans="1:7" x14ac:dyDescent="0.25">
      <c r="A106">
        <v>109</v>
      </c>
      <c r="B106">
        <v>158</v>
      </c>
      <c r="C106" s="18" t="s">
        <v>68</v>
      </c>
      <c r="F106">
        <v>149</v>
      </c>
      <c r="G106">
        <v>161</v>
      </c>
    </row>
    <row r="107" spans="1:7" x14ac:dyDescent="0.25">
      <c r="A107">
        <v>110</v>
      </c>
      <c r="B107">
        <v>160</v>
      </c>
      <c r="C107" s="18" t="s">
        <v>68</v>
      </c>
      <c r="F107">
        <v>151</v>
      </c>
      <c r="G107">
        <v>163</v>
      </c>
    </row>
    <row r="108" spans="1:7" x14ac:dyDescent="0.25">
      <c r="A108">
        <v>111</v>
      </c>
      <c r="B108">
        <v>160</v>
      </c>
      <c r="C108" s="18" t="s">
        <v>68</v>
      </c>
      <c r="F108">
        <v>151</v>
      </c>
      <c r="G108">
        <v>163</v>
      </c>
    </row>
    <row r="109" spans="1:7" x14ac:dyDescent="0.25">
      <c r="A109">
        <v>112</v>
      </c>
      <c r="B109">
        <v>160</v>
      </c>
      <c r="C109" s="18" t="s">
        <v>68</v>
      </c>
      <c r="F109">
        <v>151</v>
      </c>
      <c r="G109">
        <v>163</v>
      </c>
    </row>
    <row r="110" spans="1:7" x14ac:dyDescent="0.25">
      <c r="A110">
        <v>113</v>
      </c>
      <c r="B110">
        <v>160</v>
      </c>
      <c r="C110" s="18" t="s">
        <v>68</v>
      </c>
      <c r="F110">
        <v>151</v>
      </c>
      <c r="G110">
        <v>163</v>
      </c>
    </row>
    <row r="111" spans="1:7" x14ac:dyDescent="0.25">
      <c r="A111">
        <v>114</v>
      </c>
      <c r="B111">
        <v>160</v>
      </c>
      <c r="C111" s="18" t="s">
        <v>68</v>
      </c>
      <c r="F111">
        <v>151</v>
      </c>
      <c r="G111">
        <v>163</v>
      </c>
    </row>
  </sheetData>
  <mergeCells count="2">
    <mergeCell ref="D1:E1"/>
    <mergeCell ref="F1:G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8EFC-E381-4E4A-A7BC-C5FDE1837F8B}">
  <dimension ref="A1:G93"/>
  <sheetViews>
    <sheetView topLeftCell="A10" workbookViewId="0">
      <selection activeCell="H99" sqref="H99"/>
    </sheetView>
  </sheetViews>
  <sheetFormatPr defaultColWidth="8.7109375" defaultRowHeight="15" x14ac:dyDescent="0.25"/>
  <sheetData>
    <row r="1" spans="1:7" x14ac:dyDescent="0.25">
      <c r="A1" t="s">
        <v>22</v>
      </c>
      <c r="D1" s="30">
        <v>0.9</v>
      </c>
      <c r="E1" s="30"/>
      <c r="F1" s="30">
        <v>0.95</v>
      </c>
      <c r="G1" s="30"/>
    </row>
    <row r="2" spans="1:7" x14ac:dyDescent="0.25">
      <c r="A2" t="s">
        <v>18</v>
      </c>
      <c r="B2" t="s">
        <v>23</v>
      </c>
      <c r="C2" t="s">
        <v>21</v>
      </c>
      <c r="D2" t="s">
        <v>6</v>
      </c>
      <c r="E2" t="s">
        <v>7</v>
      </c>
      <c r="F2" t="s">
        <v>6</v>
      </c>
      <c r="G2" t="s">
        <v>7</v>
      </c>
    </row>
    <row r="3" spans="1:7" x14ac:dyDescent="0.25">
      <c r="A3">
        <v>5</v>
      </c>
      <c r="B3">
        <v>40</v>
      </c>
      <c r="C3" s="18" t="s">
        <v>67</v>
      </c>
      <c r="F3">
        <v>37</v>
      </c>
      <c r="G3">
        <v>53</v>
      </c>
    </row>
    <row r="4" spans="1:7" x14ac:dyDescent="0.25">
      <c r="A4">
        <v>6</v>
      </c>
      <c r="B4">
        <v>43</v>
      </c>
      <c r="C4" s="18" t="s">
        <v>67</v>
      </c>
      <c r="F4">
        <v>40</v>
      </c>
      <c r="G4">
        <v>55</v>
      </c>
    </row>
    <row r="5" spans="1:7" x14ac:dyDescent="0.25">
      <c r="A5">
        <v>7</v>
      </c>
      <c r="B5">
        <v>46</v>
      </c>
      <c r="C5" s="18" t="s">
        <v>67</v>
      </c>
      <c r="F5">
        <v>43</v>
      </c>
      <c r="G5">
        <v>58</v>
      </c>
    </row>
    <row r="6" spans="1:7" x14ac:dyDescent="0.25">
      <c r="A6">
        <v>8</v>
      </c>
      <c r="B6">
        <v>50</v>
      </c>
      <c r="C6" s="18" t="s">
        <v>67</v>
      </c>
      <c r="F6">
        <v>46</v>
      </c>
      <c r="G6">
        <v>62</v>
      </c>
    </row>
    <row r="7" spans="1:7" x14ac:dyDescent="0.25">
      <c r="A7">
        <v>9</v>
      </c>
      <c r="B7">
        <v>53</v>
      </c>
      <c r="C7">
        <v>0.1</v>
      </c>
      <c r="F7">
        <v>49</v>
      </c>
      <c r="G7">
        <v>64</v>
      </c>
    </row>
    <row r="8" spans="1:7" x14ac:dyDescent="0.25">
      <c r="A8">
        <v>10</v>
      </c>
      <c r="B8">
        <v>55</v>
      </c>
      <c r="C8">
        <v>0.1</v>
      </c>
      <c r="F8">
        <v>51</v>
      </c>
      <c r="G8">
        <v>66</v>
      </c>
    </row>
    <row r="9" spans="1:7" x14ac:dyDescent="0.25">
      <c r="A9">
        <v>11</v>
      </c>
      <c r="B9">
        <v>57</v>
      </c>
      <c r="C9">
        <v>0.2</v>
      </c>
      <c r="F9">
        <v>53</v>
      </c>
      <c r="G9">
        <v>68</v>
      </c>
    </row>
    <row r="10" spans="1:7" x14ac:dyDescent="0.25">
      <c r="A10">
        <v>12</v>
      </c>
      <c r="B10">
        <v>58</v>
      </c>
      <c r="C10">
        <v>0.3</v>
      </c>
      <c r="F10">
        <v>54</v>
      </c>
      <c r="G10">
        <v>69</v>
      </c>
    </row>
    <row r="11" spans="1:7" x14ac:dyDescent="0.25">
      <c r="A11">
        <v>13</v>
      </c>
      <c r="B11">
        <v>60</v>
      </c>
      <c r="C11">
        <v>0.4</v>
      </c>
      <c r="F11">
        <v>56</v>
      </c>
      <c r="G11">
        <v>71</v>
      </c>
    </row>
    <row r="12" spans="1:7" x14ac:dyDescent="0.25">
      <c r="A12">
        <v>14</v>
      </c>
      <c r="B12">
        <v>61</v>
      </c>
      <c r="C12">
        <v>0.5</v>
      </c>
      <c r="F12">
        <v>56</v>
      </c>
      <c r="G12">
        <v>72</v>
      </c>
    </row>
    <row r="13" spans="1:7" x14ac:dyDescent="0.25">
      <c r="A13">
        <v>15</v>
      </c>
      <c r="B13">
        <v>62</v>
      </c>
      <c r="C13">
        <v>1</v>
      </c>
      <c r="F13">
        <v>57</v>
      </c>
      <c r="G13">
        <v>72</v>
      </c>
    </row>
    <row r="14" spans="1:7" x14ac:dyDescent="0.25">
      <c r="A14">
        <v>16</v>
      </c>
      <c r="B14">
        <v>63</v>
      </c>
      <c r="C14">
        <v>1</v>
      </c>
      <c r="F14">
        <v>58</v>
      </c>
      <c r="G14">
        <v>74</v>
      </c>
    </row>
    <row r="15" spans="1:7" x14ac:dyDescent="0.25">
      <c r="A15">
        <v>17</v>
      </c>
      <c r="B15">
        <v>63</v>
      </c>
      <c r="C15">
        <v>1</v>
      </c>
      <c r="F15">
        <v>58</v>
      </c>
      <c r="G15">
        <v>74</v>
      </c>
    </row>
    <row r="16" spans="1:7" x14ac:dyDescent="0.25">
      <c r="A16">
        <v>18</v>
      </c>
      <c r="B16">
        <v>64</v>
      </c>
      <c r="C16">
        <v>1</v>
      </c>
      <c r="F16">
        <v>59</v>
      </c>
      <c r="G16">
        <v>75</v>
      </c>
    </row>
    <row r="17" spans="1:7" x14ac:dyDescent="0.25">
      <c r="A17">
        <v>19</v>
      </c>
      <c r="B17">
        <v>64</v>
      </c>
      <c r="C17">
        <v>1</v>
      </c>
      <c r="F17">
        <v>59</v>
      </c>
      <c r="G17">
        <v>74</v>
      </c>
    </row>
    <row r="18" spans="1:7" x14ac:dyDescent="0.25">
      <c r="A18">
        <v>20</v>
      </c>
      <c r="B18">
        <v>65</v>
      </c>
      <c r="C18">
        <v>1</v>
      </c>
      <c r="F18">
        <v>60</v>
      </c>
      <c r="G18">
        <v>76</v>
      </c>
    </row>
    <row r="19" spans="1:7" x14ac:dyDescent="0.25">
      <c r="A19">
        <v>21</v>
      </c>
      <c r="B19">
        <v>65</v>
      </c>
      <c r="C19">
        <v>1</v>
      </c>
      <c r="F19">
        <v>60</v>
      </c>
      <c r="G19">
        <v>75</v>
      </c>
    </row>
    <row r="20" spans="1:7" x14ac:dyDescent="0.25">
      <c r="A20">
        <v>22</v>
      </c>
      <c r="B20">
        <v>66</v>
      </c>
      <c r="C20">
        <v>1</v>
      </c>
      <c r="F20">
        <v>61</v>
      </c>
      <c r="G20">
        <v>76</v>
      </c>
    </row>
    <row r="21" spans="1:7" x14ac:dyDescent="0.25">
      <c r="A21">
        <v>23</v>
      </c>
      <c r="B21">
        <v>67</v>
      </c>
      <c r="C21">
        <v>1</v>
      </c>
      <c r="F21">
        <v>62</v>
      </c>
      <c r="G21">
        <v>77</v>
      </c>
    </row>
    <row r="22" spans="1:7" x14ac:dyDescent="0.25">
      <c r="A22">
        <v>24</v>
      </c>
      <c r="B22">
        <v>68</v>
      </c>
      <c r="C22">
        <v>2</v>
      </c>
      <c r="F22">
        <v>63</v>
      </c>
      <c r="G22">
        <v>78</v>
      </c>
    </row>
    <row r="23" spans="1:7" x14ac:dyDescent="0.25">
      <c r="A23">
        <v>25</v>
      </c>
      <c r="B23">
        <v>69</v>
      </c>
      <c r="C23">
        <v>2</v>
      </c>
      <c r="F23">
        <v>64</v>
      </c>
      <c r="G23">
        <v>79</v>
      </c>
    </row>
    <row r="24" spans="1:7" x14ac:dyDescent="0.25">
      <c r="A24">
        <v>26</v>
      </c>
      <c r="B24">
        <v>70</v>
      </c>
      <c r="C24">
        <v>2</v>
      </c>
      <c r="F24">
        <v>65</v>
      </c>
      <c r="G24">
        <v>80</v>
      </c>
    </row>
    <row r="25" spans="1:7" x14ac:dyDescent="0.25">
      <c r="A25">
        <v>27</v>
      </c>
      <c r="B25">
        <v>71</v>
      </c>
      <c r="C25">
        <v>3</v>
      </c>
      <c r="F25">
        <v>66</v>
      </c>
      <c r="G25">
        <v>81</v>
      </c>
    </row>
    <row r="26" spans="1:7" x14ac:dyDescent="0.25">
      <c r="A26">
        <v>28</v>
      </c>
      <c r="B26">
        <v>72</v>
      </c>
      <c r="C26">
        <v>3</v>
      </c>
      <c r="F26">
        <v>67</v>
      </c>
      <c r="G26">
        <v>82</v>
      </c>
    </row>
    <row r="27" spans="1:7" x14ac:dyDescent="0.25">
      <c r="A27">
        <v>29</v>
      </c>
      <c r="B27">
        <v>73</v>
      </c>
      <c r="C27">
        <v>4</v>
      </c>
      <c r="F27">
        <v>68</v>
      </c>
      <c r="G27">
        <v>83</v>
      </c>
    </row>
    <row r="28" spans="1:7" x14ac:dyDescent="0.25">
      <c r="A28">
        <v>30</v>
      </c>
      <c r="B28">
        <v>75</v>
      </c>
      <c r="C28">
        <v>5</v>
      </c>
      <c r="F28">
        <v>69</v>
      </c>
      <c r="G28">
        <v>84</v>
      </c>
    </row>
    <row r="29" spans="1:7" x14ac:dyDescent="0.25">
      <c r="A29">
        <v>31</v>
      </c>
      <c r="B29">
        <v>76</v>
      </c>
      <c r="C29">
        <v>5</v>
      </c>
      <c r="F29">
        <v>70</v>
      </c>
      <c r="G29">
        <v>85</v>
      </c>
    </row>
    <row r="30" spans="1:7" x14ac:dyDescent="0.25">
      <c r="A30">
        <v>32</v>
      </c>
      <c r="B30">
        <v>76</v>
      </c>
      <c r="C30">
        <v>5</v>
      </c>
      <c r="F30">
        <v>70</v>
      </c>
      <c r="G30">
        <v>86</v>
      </c>
    </row>
    <row r="31" spans="1:7" x14ac:dyDescent="0.25">
      <c r="A31">
        <v>33</v>
      </c>
      <c r="B31">
        <v>77</v>
      </c>
      <c r="C31">
        <v>6</v>
      </c>
      <c r="F31">
        <v>71</v>
      </c>
      <c r="G31">
        <v>87</v>
      </c>
    </row>
    <row r="32" spans="1:7" x14ac:dyDescent="0.25">
      <c r="A32">
        <v>34</v>
      </c>
      <c r="B32">
        <v>78</v>
      </c>
      <c r="C32">
        <v>7</v>
      </c>
      <c r="F32">
        <v>72</v>
      </c>
      <c r="G32">
        <v>87</v>
      </c>
    </row>
    <row r="33" spans="1:7" x14ac:dyDescent="0.25">
      <c r="A33">
        <v>35</v>
      </c>
      <c r="B33">
        <v>79</v>
      </c>
      <c r="C33">
        <v>8</v>
      </c>
      <c r="F33">
        <v>73</v>
      </c>
      <c r="G33">
        <v>88</v>
      </c>
    </row>
    <row r="34" spans="1:7" x14ac:dyDescent="0.25">
      <c r="A34">
        <v>36</v>
      </c>
      <c r="B34">
        <v>80</v>
      </c>
      <c r="C34">
        <v>9</v>
      </c>
      <c r="F34">
        <v>74</v>
      </c>
      <c r="G34">
        <v>89</v>
      </c>
    </row>
    <row r="35" spans="1:7" x14ac:dyDescent="0.25">
      <c r="A35">
        <v>37</v>
      </c>
      <c r="B35">
        <v>81</v>
      </c>
      <c r="C35">
        <v>10</v>
      </c>
      <c r="F35">
        <v>75</v>
      </c>
      <c r="G35">
        <v>90</v>
      </c>
    </row>
    <row r="36" spans="1:7" x14ac:dyDescent="0.25">
      <c r="A36">
        <v>38</v>
      </c>
      <c r="B36">
        <v>82</v>
      </c>
      <c r="C36">
        <v>12</v>
      </c>
      <c r="F36">
        <v>76</v>
      </c>
      <c r="G36">
        <v>91</v>
      </c>
    </row>
    <row r="37" spans="1:7" x14ac:dyDescent="0.25">
      <c r="A37">
        <v>39</v>
      </c>
      <c r="B37">
        <v>84</v>
      </c>
      <c r="C37">
        <v>14</v>
      </c>
      <c r="F37">
        <v>77</v>
      </c>
      <c r="G37">
        <v>93</v>
      </c>
    </row>
    <row r="38" spans="1:7" x14ac:dyDescent="0.25">
      <c r="A38">
        <v>40</v>
      </c>
      <c r="B38">
        <v>85</v>
      </c>
      <c r="C38">
        <v>16</v>
      </c>
      <c r="F38">
        <v>79</v>
      </c>
      <c r="G38">
        <v>94</v>
      </c>
    </row>
    <row r="39" spans="1:7" x14ac:dyDescent="0.25">
      <c r="A39">
        <v>41</v>
      </c>
      <c r="B39">
        <v>86</v>
      </c>
      <c r="C39">
        <v>18</v>
      </c>
      <c r="F39">
        <v>80</v>
      </c>
      <c r="G39">
        <v>95</v>
      </c>
    </row>
    <row r="40" spans="1:7" x14ac:dyDescent="0.25">
      <c r="A40">
        <v>42</v>
      </c>
      <c r="B40">
        <v>87</v>
      </c>
      <c r="C40">
        <v>19</v>
      </c>
      <c r="F40">
        <v>81</v>
      </c>
      <c r="G40">
        <v>96</v>
      </c>
    </row>
    <row r="41" spans="1:7" x14ac:dyDescent="0.25">
      <c r="A41">
        <v>43</v>
      </c>
      <c r="B41">
        <v>89</v>
      </c>
      <c r="C41">
        <v>23</v>
      </c>
      <c r="F41">
        <v>82</v>
      </c>
      <c r="G41">
        <v>97</v>
      </c>
    </row>
    <row r="42" spans="1:7" x14ac:dyDescent="0.25">
      <c r="A42">
        <v>44</v>
      </c>
      <c r="B42">
        <v>90</v>
      </c>
      <c r="C42">
        <v>25</v>
      </c>
      <c r="F42">
        <v>83</v>
      </c>
      <c r="G42">
        <v>98</v>
      </c>
    </row>
    <row r="43" spans="1:7" x14ac:dyDescent="0.25">
      <c r="A43">
        <v>45</v>
      </c>
      <c r="B43">
        <v>92</v>
      </c>
      <c r="C43">
        <v>30</v>
      </c>
      <c r="F43">
        <v>85</v>
      </c>
      <c r="G43">
        <v>100</v>
      </c>
    </row>
    <row r="44" spans="1:7" x14ac:dyDescent="0.25">
      <c r="A44">
        <v>46</v>
      </c>
      <c r="B44">
        <v>93</v>
      </c>
      <c r="C44">
        <v>32</v>
      </c>
      <c r="F44">
        <v>86</v>
      </c>
      <c r="G44">
        <v>101</v>
      </c>
    </row>
    <row r="45" spans="1:7" x14ac:dyDescent="0.25">
      <c r="A45">
        <v>47</v>
      </c>
      <c r="B45">
        <v>95</v>
      </c>
      <c r="C45">
        <v>37</v>
      </c>
      <c r="F45">
        <v>87</v>
      </c>
      <c r="G45">
        <v>103</v>
      </c>
    </row>
    <row r="46" spans="1:7" x14ac:dyDescent="0.25">
      <c r="A46">
        <v>48</v>
      </c>
      <c r="B46">
        <v>97</v>
      </c>
      <c r="C46">
        <v>42</v>
      </c>
      <c r="F46">
        <v>89</v>
      </c>
      <c r="G46">
        <v>104</v>
      </c>
    </row>
    <row r="47" spans="1:7" x14ac:dyDescent="0.25">
      <c r="A47">
        <v>49</v>
      </c>
      <c r="B47">
        <v>98</v>
      </c>
      <c r="C47">
        <v>45</v>
      </c>
      <c r="F47">
        <v>91</v>
      </c>
      <c r="G47">
        <v>106</v>
      </c>
    </row>
    <row r="48" spans="1:7" x14ac:dyDescent="0.25">
      <c r="A48">
        <v>50</v>
      </c>
      <c r="B48">
        <v>99</v>
      </c>
      <c r="C48">
        <v>47</v>
      </c>
      <c r="F48">
        <v>92</v>
      </c>
      <c r="G48">
        <v>107</v>
      </c>
    </row>
    <row r="49" spans="1:7" x14ac:dyDescent="0.25">
      <c r="A49">
        <v>51</v>
      </c>
      <c r="B49">
        <v>100</v>
      </c>
      <c r="C49">
        <v>50</v>
      </c>
      <c r="F49">
        <v>92</v>
      </c>
      <c r="G49">
        <v>108</v>
      </c>
    </row>
    <row r="50" spans="1:7" x14ac:dyDescent="0.25">
      <c r="A50">
        <v>52</v>
      </c>
      <c r="B50">
        <v>102</v>
      </c>
      <c r="C50">
        <v>55</v>
      </c>
      <c r="F50">
        <v>94</v>
      </c>
      <c r="G50">
        <v>110</v>
      </c>
    </row>
    <row r="51" spans="1:7" x14ac:dyDescent="0.25">
      <c r="A51">
        <v>53</v>
      </c>
      <c r="B51">
        <v>104</v>
      </c>
      <c r="C51">
        <v>61</v>
      </c>
      <c r="F51">
        <v>96</v>
      </c>
      <c r="G51">
        <v>111</v>
      </c>
    </row>
    <row r="52" spans="1:7" x14ac:dyDescent="0.25">
      <c r="A52">
        <v>54</v>
      </c>
      <c r="B52">
        <v>105</v>
      </c>
      <c r="C52">
        <v>63</v>
      </c>
      <c r="F52">
        <v>97</v>
      </c>
      <c r="G52">
        <v>112</v>
      </c>
    </row>
    <row r="53" spans="1:7" x14ac:dyDescent="0.25">
      <c r="A53">
        <v>55</v>
      </c>
      <c r="B53">
        <v>107</v>
      </c>
      <c r="C53">
        <v>68</v>
      </c>
      <c r="F53">
        <v>98</v>
      </c>
      <c r="G53">
        <v>114</v>
      </c>
    </row>
    <row r="54" spans="1:7" x14ac:dyDescent="0.25">
      <c r="A54">
        <v>56</v>
      </c>
      <c r="B54">
        <v>108</v>
      </c>
      <c r="C54">
        <v>70</v>
      </c>
      <c r="F54">
        <v>100</v>
      </c>
      <c r="G54">
        <v>115</v>
      </c>
    </row>
    <row r="55" spans="1:7" x14ac:dyDescent="0.25">
      <c r="A55">
        <v>57</v>
      </c>
      <c r="B55">
        <v>109</v>
      </c>
      <c r="C55">
        <v>73</v>
      </c>
      <c r="F55">
        <v>101</v>
      </c>
      <c r="G55">
        <v>116</v>
      </c>
    </row>
    <row r="56" spans="1:7" x14ac:dyDescent="0.25">
      <c r="A56">
        <v>58</v>
      </c>
      <c r="B56">
        <v>110</v>
      </c>
      <c r="C56">
        <v>75</v>
      </c>
      <c r="F56">
        <v>102</v>
      </c>
      <c r="G56">
        <v>117</v>
      </c>
    </row>
    <row r="57" spans="1:7" x14ac:dyDescent="0.25">
      <c r="A57">
        <v>59</v>
      </c>
      <c r="B57">
        <v>112</v>
      </c>
      <c r="C57">
        <v>79</v>
      </c>
      <c r="F57">
        <v>103</v>
      </c>
      <c r="G57">
        <v>119</v>
      </c>
    </row>
    <row r="58" spans="1:7" x14ac:dyDescent="0.25">
      <c r="A58">
        <v>60</v>
      </c>
      <c r="B58">
        <v>114</v>
      </c>
      <c r="C58">
        <v>82</v>
      </c>
      <c r="F58">
        <v>105</v>
      </c>
      <c r="G58">
        <v>120</v>
      </c>
    </row>
    <row r="59" spans="1:7" x14ac:dyDescent="0.25">
      <c r="A59">
        <v>61</v>
      </c>
      <c r="B59">
        <v>115</v>
      </c>
      <c r="C59">
        <v>84</v>
      </c>
      <c r="F59">
        <v>106</v>
      </c>
      <c r="G59">
        <v>122</v>
      </c>
    </row>
    <row r="60" spans="1:7" x14ac:dyDescent="0.25">
      <c r="A60">
        <v>62</v>
      </c>
      <c r="B60">
        <v>117</v>
      </c>
      <c r="C60">
        <v>86</v>
      </c>
      <c r="F60">
        <v>108</v>
      </c>
      <c r="G60">
        <v>123</v>
      </c>
    </row>
    <row r="61" spans="1:7" x14ac:dyDescent="0.25">
      <c r="A61">
        <v>63</v>
      </c>
      <c r="B61">
        <v>119</v>
      </c>
      <c r="C61">
        <v>90</v>
      </c>
      <c r="F61">
        <v>109</v>
      </c>
      <c r="G61">
        <v>125</v>
      </c>
    </row>
    <row r="62" spans="1:7" x14ac:dyDescent="0.25">
      <c r="A62">
        <v>64</v>
      </c>
      <c r="B62">
        <v>120</v>
      </c>
      <c r="C62">
        <v>91</v>
      </c>
      <c r="F62">
        <v>111</v>
      </c>
      <c r="G62">
        <v>126</v>
      </c>
    </row>
    <row r="63" spans="1:7" x14ac:dyDescent="0.25">
      <c r="A63">
        <v>65</v>
      </c>
      <c r="B63">
        <v>122</v>
      </c>
      <c r="C63">
        <v>93</v>
      </c>
      <c r="F63">
        <v>112</v>
      </c>
      <c r="G63">
        <v>128</v>
      </c>
    </row>
    <row r="64" spans="1:7" x14ac:dyDescent="0.25">
      <c r="A64">
        <v>66</v>
      </c>
      <c r="B64">
        <v>124</v>
      </c>
      <c r="C64">
        <v>95</v>
      </c>
      <c r="F64">
        <v>114</v>
      </c>
      <c r="G64">
        <v>130</v>
      </c>
    </row>
    <row r="65" spans="1:7" x14ac:dyDescent="0.25">
      <c r="A65">
        <v>67</v>
      </c>
      <c r="B65">
        <v>126</v>
      </c>
      <c r="C65">
        <v>96</v>
      </c>
      <c r="F65">
        <v>117</v>
      </c>
      <c r="G65">
        <v>132</v>
      </c>
    </row>
    <row r="66" spans="1:7" x14ac:dyDescent="0.25">
      <c r="A66">
        <v>68</v>
      </c>
      <c r="B66">
        <v>128</v>
      </c>
      <c r="C66">
        <v>97</v>
      </c>
      <c r="F66">
        <v>118</v>
      </c>
      <c r="G66">
        <v>134</v>
      </c>
    </row>
    <row r="67" spans="1:7" x14ac:dyDescent="0.25">
      <c r="A67">
        <v>69</v>
      </c>
      <c r="B67">
        <v>129</v>
      </c>
      <c r="C67">
        <v>97</v>
      </c>
      <c r="F67">
        <v>119</v>
      </c>
      <c r="G67">
        <v>135</v>
      </c>
    </row>
    <row r="68" spans="1:7" x14ac:dyDescent="0.25">
      <c r="A68">
        <v>70</v>
      </c>
      <c r="B68">
        <v>130</v>
      </c>
      <c r="C68">
        <v>98</v>
      </c>
      <c r="F68">
        <v>120</v>
      </c>
      <c r="G68">
        <v>136</v>
      </c>
    </row>
    <row r="69" spans="1:7" x14ac:dyDescent="0.25">
      <c r="A69">
        <v>71</v>
      </c>
      <c r="B69">
        <v>133</v>
      </c>
      <c r="C69">
        <v>99</v>
      </c>
      <c r="F69">
        <v>122</v>
      </c>
      <c r="G69">
        <v>138</v>
      </c>
    </row>
    <row r="70" spans="1:7" x14ac:dyDescent="0.25">
      <c r="A70">
        <v>72</v>
      </c>
      <c r="B70">
        <v>136</v>
      </c>
      <c r="C70">
        <v>99</v>
      </c>
      <c r="F70">
        <v>126</v>
      </c>
      <c r="G70">
        <v>141</v>
      </c>
    </row>
    <row r="71" spans="1:7" x14ac:dyDescent="0.25">
      <c r="A71">
        <v>73</v>
      </c>
      <c r="B71">
        <v>138</v>
      </c>
      <c r="C71">
        <v>99</v>
      </c>
      <c r="F71">
        <v>127</v>
      </c>
      <c r="G71">
        <v>143</v>
      </c>
    </row>
    <row r="72" spans="1:7" x14ac:dyDescent="0.25">
      <c r="A72">
        <v>74</v>
      </c>
      <c r="B72">
        <v>140</v>
      </c>
      <c r="C72">
        <v>99.6</v>
      </c>
      <c r="F72">
        <v>129</v>
      </c>
      <c r="G72">
        <v>144</v>
      </c>
    </row>
    <row r="73" spans="1:7" x14ac:dyDescent="0.25">
      <c r="A73">
        <v>75</v>
      </c>
      <c r="B73">
        <v>141</v>
      </c>
      <c r="C73">
        <v>99.7</v>
      </c>
      <c r="F73">
        <v>130</v>
      </c>
      <c r="G73">
        <v>145</v>
      </c>
    </row>
    <row r="74" spans="1:7" x14ac:dyDescent="0.25">
      <c r="A74">
        <v>76</v>
      </c>
      <c r="B74">
        <v>143</v>
      </c>
      <c r="C74">
        <v>99.8</v>
      </c>
      <c r="F74">
        <v>132</v>
      </c>
      <c r="G74">
        <v>147</v>
      </c>
    </row>
    <row r="75" spans="1:7" x14ac:dyDescent="0.25">
      <c r="A75">
        <v>77</v>
      </c>
      <c r="B75">
        <v>148</v>
      </c>
      <c r="C75">
        <v>99.9</v>
      </c>
      <c r="F75">
        <v>137</v>
      </c>
      <c r="G75">
        <v>152</v>
      </c>
    </row>
    <row r="76" spans="1:7" x14ac:dyDescent="0.25">
      <c r="A76">
        <v>78</v>
      </c>
      <c r="B76">
        <v>150</v>
      </c>
      <c r="C76" s="18" t="s">
        <v>68</v>
      </c>
      <c r="F76">
        <v>138</v>
      </c>
      <c r="G76">
        <v>154</v>
      </c>
    </row>
    <row r="77" spans="1:7" x14ac:dyDescent="0.25">
      <c r="A77">
        <v>79</v>
      </c>
      <c r="B77">
        <v>152</v>
      </c>
      <c r="C77" s="18" t="s">
        <v>68</v>
      </c>
      <c r="F77">
        <v>140</v>
      </c>
      <c r="G77">
        <v>155</v>
      </c>
    </row>
    <row r="78" spans="1:7" x14ac:dyDescent="0.25">
      <c r="A78">
        <v>80</v>
      </c>
      <c r="B78">
        <v>154</v>
      </c>
      <c r="C78" s="18" t="s">
        <v>68</v>
      </c>
      <c r="F78">
        <v>142</v>
      </c>
      <c r="G78">
        <v>157</v>
      </c>
    </row>
    <row r="79" spans="1:7" x14ac:dyDescent="0.25">
      <c r="A79">
        <v>81</v>
      </c>
      <c r="B79">
        <v>156</v>
      </c>
      <c r="C79" s="18" t="s">
        <v>68</v>
      </c>
      <c r="F79">
        <v>144</v>
      </c>
      <c r="G79">
        <v>159</v>
      </c>
    </row>
    <row r="80" spans="1:7" x14ac:dyDescent="0.25">
      <c r="A80">
        <v>82</v>
      </c>
      <c r="B80">
        <v>158</v>
      </c>
      <c r="C80" s="18" t="s">
        <v>68</v>
      </c>
      <c r="F80">
        <v>146</v>
      </c>
      <c r="G80">
        <v>161</v>
      </c>
    </row>
    <row r="81" spans="1:7" x14ac:dyDescent="0.25">
      <c r="A81">
        <v>83</v>
      </c>
      <c r="B81">
        <v>160</v>
      </c>
      <c r="C81" s="18" t="s">
        <v>68</v>
      </c>
      <c r="F81">
        <v>147</v>
      </c>
      <c r="G81">
        <v>163</v>
      </c>
    </row>
    <row r="82" spans="1:7" x14ac:dyDescent="0.25">
      <c r="A82">
        <v>84</v>
      </c>
      <c r="B82">
        <v>160</v>
      </c>
      <c r="C82" s="18" t="s">
        <v>68</v>
      </c>
      <c r="F82">
        <v>147</v>
      </c>
      <c r="G82">
        <v>163</v>
      </c>
    </row>
    <row r="83" spans="1:7" x14ac:dyDescent="0.25">
      <c r="A83">
        <v>85</v>
      </c>
      <c r="B83">
        <v>160</v>
      </c>
      <c r="C83" s="18" t="s">
        <v>68</v>
      </c>
      <c r="F83">
        <v>147</v>
      </c>
      <c r="G83">
        <v>163</v>
      </c>
    </row>
    <row r="84" spans="1:7" x14ac:dyDescent="0.25">
      <c r="A84">
        <v>86</v>
      </c>
      <c r="B84">
        <v>160</v>
      </c>
      <c r="C84" s="18" t="s">
        <v>68</v>
      </c>
      <c r="F84">
        <v>147</v>
      </c>
      <c r="G84">
        <v>163</v>
      </c>
    </row>
    <row r="85" spans="1:7" x14ac:dyDescent="0.25">
      <c r="A85">
        <v>87</v>
      </c>
      <c r="B85">
        <v>160</v>
      </c>
      <c r="C85" s="18" t="s">
        <v>68</v>
      </c>
      <c r="F85">
        <v>147</v>
      </c>
      <c r="G85">
        <v>163</v>
      </c>
    </row>
    <row r="86" spans="1:7" x14ac:dyDescent="0.25">
      <c r="A86">
        <v>88</v>
      </c>
      <c r="B86">
        <v>160</v>
      </c>
      <c r="C86" s="18" t="s">
        <v>68</v>
      </c>
      <c r="F86">
        <v>147</v>
      </c>
      <c r="G86">
        <v>163</v>
      </c>
    </row>
    <row r="87" spans="1:7" x14ac:dyDescent="0.25">
      <c r="A87">
        <v>89</v>
      </c>
      <c r="B87">
        <v>160</v>
      </c>
      <c r="C87" s="18" t="s">
        <v>68</v>
      </c>
      <c r="F87">
        <v>147</v>
      </c>
      <c r="G87">
        <v>163</v>
      </c>
    </row>
    <row r="88" spans="1:7" x14ac:dyDescent="0.25">
      <c r="A88">
        <v>90</v>
      </c>
      <c r="B88">
        <v>160</v>
      </c>
      <c r="C88" s="18" t="s">
        <v>68</v>
      </c>
      <c r="F88">
        <v>147</v>
      </c>
      <c r="G88">
        <v>163</v>
      </c>
    </row>
    <row r="89" spans="1:7" x14ac:dyDescent="0.25">
      <c r="A89">
        <v>91</v>
      </c>
      <c r="B89">
        <v>160</v>
      </c>
      <c r="C89" s="18" t="s">
        <v>68</v>
      </c>
      <c r="F89">
        <v>147</v>
      </c>
      <c r="G89">
        <v>163</v>
      </c>
    </row>
    <row r="90" spans="1:7" x14ac:dyDescent="0.25">
      <c r="A90">
        <v>92</v>
      </c>
      <c r="B90">
        <v>160</v>
      </c>
      <c r="C90" s="18" t="s">
        <v>68</v>
      </c>
      <c r="F90">
        <v>147</v>
      </c>
      <c r="G90">
        <v>163</v>
      </c>
    </row>
    <row r="91" spans="1:7" x14ac:dyDescent="0.25">
      <c r="A91">
        <v>93</v>
      </c>
      <c r="B91">
        <v>160</v>
      </c>
      <c r="C91" s="18" t="s">
        <v>68</v>
      </c>
      <c r="F91">
        <v>147</v>
      </c>
      <c r="G91">
        <v>163</v>
      </c>
    </row>
    <row r="92" spans="1:7" x14ac:dyDescent="0.25">
      <c r="A92">
        <v>94</v>
      </c>
      <c r="B92">
        <v>160</v>
      </c>
      <c r="C92" s="18" t="s">
        <v>68</v>
      </c>
      <c r="F92">
        <v>147</v>
      </c>
      <c r="G92">
        <v>163</v>
      </c>
    </row>
    <row r="93" spans="1:7" x14ac:dyDescent="0.25">
      <c r="A93">
        <v>95</v>
      </c>
      <c r="B93">
        <v>160</v>
      </c>
      <c r="C93" s="18" t="s">
        <v>68</v>
      </c>
      <c r="F93">
        <v>147</v>
      </c>
      <c r="G93">
        <v>163</v>
      </c>
    </row>
  </sheetData>
  <mergeCells count="2">
    <mergeCell ref="D1:E1"/>
    <mergeCell ref="F1:G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B022-D9E0-4659-8C93-924A33347C94}">
  <dimension ref="A1:G201"/>
  <sheetViews>
    <sheetView topLeftCell="A191" workbookViewId="0">
      <selection activeCell="I204" sqref="I204"/>
    </sheetView>
  </sheetViews>
  <sheetFormatPr defaultColWidth="8.7109375" defaultRowHeight="15" x14ac:dyDescent="0.25"/>
  <sheetData>
    <row r="1" spans="1:7" x14ac:dyDescent="0.25">
      <c r="A1" t="s">
        <v>24</v>
      </c>
      <c r="D1" s="30">
        <v>0.9</v>
      </c>
      <c r="E1" s="30"/>
      <c r="F1" s="30">
        <v>0.95</v>
      </c>
      <c r="G1" s="30"/>
    </row>
    <row r="2" spans="1:7" x14ac:dyDescent="0.25">
      <c r="A2" t="s">
        <v>18</v>
      </c>
      <c r="B2" t="s">
        <v>25</v>
      </c>
      <c r="C2" t="s">
        <v>21</v>
      </c>
      <c r="D2" t="s">
        <v>6</v>
      </c>
      <c r="E2" t="s">
        <v>7</v>
      </c>
      <c r="F2" t="s">
        <v>6</v>
      </c>
      <c r="G2" t="s">
        <v>7</v>
      </c>
    </row>
    <row r="3" spans="1:7" x14ac:dyDescent="0.25">
      <c r="A3">
        <v>11</v>
      </c>
      <c r="B3">
        <v>40</v>
      </c>
      <c r="C3" s="18" t="s">
        <v>67</v>
      </c>
      <c r="F3">
        <v>37</v>
      </c>
      <c r="G3">
        <v>47</v>
      </c>
    </row>
    <row r="4" spans="1:7" x14ac:dyDescent="0.25">
      <c r="A4">
        <v>12</v>
      </c>
      <c r="B4">
        <v>42</v>
      </c>
      <c r="C4" s="18" t="s">
        <v>67</v>
      </c>
      <c r="F4">
        <v>39</v>
      </c>
      <c r="G4">
        <v>49</v>
      </c>
    </row>
    <row r="5" spans="1:7" x14ac:dyDescent="0.25">
      <c r="A5">
        <v>13</v>
      </c>
      <c r="B5">
        <v>44</v>
      </c>
      <c r="C5" s="18" t="s">
        <v>67</v>
      </c>
      <c r="F5">
        <v>41</v>
      </c>
      <c r="G5">
        <v>51</v>
      </c>
    </row>
    <row r="6" spans="1:7" x14ac:dyDescent="0.25">
      <c r="A6">
        <v>14</v>
      </c>
      <c r="B6">
        <v>46</v>
      </c>
      <c r="C6" s="18" t="s">
        <v>67</v>
      </c>
      <c r="F6">
        <v>43</v>
      </c>
      <c r="G6">
        <v>53</v>
      </c>
    </row>
    <row r="7" spans="1:7" x14ac:dyDescent="0.25">
      <c r="A7">
        <v>15</v>
      </c>
      <c r="B7">
        <v>48</v>
      </c>
      <c r="C7" s="18" t="s">
        <v>67</v>
      </c>
      <c r="F7">
        <v>45</v>
      </c>
      <c r="G7">
        <v>55</v>
      </c>
    </row>
    <row r="8" spans="1:7" x14ac:dyDescent="0.25">
      <c r="A8">
        <v>16</v>
      </c>
      <c r="B8">
        <v>50</v>
      </c>
      <c r="C8" s="18" t="s">
        <v>67</v>
      </c>
      <c r="F8">
        <v>46</v>
      </c>
      <c r="G8">
        <v>57</v>
      </c>
    </row>
    <row r="9" spans="1:7" x14ac:dyDescent="0.25">
      <c r="A9">
        <v>17</v>
      </c>
      <c r="B9">
        <v>51</v>
      </c>
      <c r="C9">
        <v>0.1</v>
      </c>
      <c r="F9">
        <v>47</v>
      </c>
      <c r="G9">
        <v>58</v>
      </c>
    </row>
    <row r="10" spans="1:7" x14ac:dyDescent="0.25">
      <c r="A10">
        <v>18</v>
      </c>
      <c r="B10">
        <v>52</v>
      </c>
      <c r="C10">
        <v>0.1</v>
      </c>
      <c r="F10">
        <v>48</v>
      </c>
      <c r="G10">
        <v>59</v>
      </c>
    </row>
    <row r="11" spans="1:7" x14ac:dyDescent="0.25">
      <c r="A11">
        <v>19</v>
      </c>
      <c r="B11">
        <v>53</v>
      </c>
      <c r="C11">
        <v>0.1</v>
      </c>
      <c r="F11">
        <v>49</v>
      </c>
      <c r="G11">
        <v>60</v>
      </c>
    </row>
    <row r="12" spans="1:7" x14ac:dyDescent="0.25">
      <c r="A12">
        <v>20</v>
      </c>
      <c r="B12">
        <v>54</v>
      </c>
      <c r="C12">
        <v>0.1</v>
      </c>
      <c r="F12">
        <v>50</v>
      </c>
      <c r="G12">
        <v>61</v>
      </c>
    </row>
    <row r="13" spans="1:7" x14ac:dyDescent="0.25">
      <c r="A13">
        <v>21</v>
      </c>
      <c r="B13">
        <v>55</v>
      </c>
      <c r="C13">
        <v>0.1</v>
      </c>
      <c r="F13">
        <v>51</v>
      </c>
      <c r="G13">
        <v>62</v>
      </c>
    </row>
    <row r="14" spans="1:7" x14ac:dyDescent="0.25">
      <c r="A14">
        <v>22</v>
      </c>
      <c r="B14">
        <v>56</v>
      </c>
      <c r="C14">
        <v>0.1</v>
      </c>
      <c r="F14">
        <v>52</v>
      </c>
      <c r="G14">
        <v>63</v>
      </c>
    </row>
    <row r="15" spans="1:7" x14ac:dyDescent="0.25">
      <c r="A15">
        <v>23</v>
      </c>
      <c r="B15">
        <v>56</v>
      </c>
      <c r="C15">
        <v>0.2</v>
      </c>
      <c r="F15">
        <v>52</v>
      </c>
      <c r="G15">
        <v>63</v>
      </c>
    </row>
    <row r="16" spans="1:7" x14ac:dyDescent="0.25">
      <c r="A16">
        <v>24</v>
      </c>
      <c r="B16">
        <v>57</v>
      </c>
      <c r="C16">
        <v>0.2</v>
      </c>
      <c r="F16">
        <v>53</v>
      </c>
      <c r="G16">
        <v>64</v>
      </c>
    </row>
    <row r="17" spans="1:7" x14ac:dyDescent="0.25">
      <c r="A17">
        <v>25</v>
      </c>
      <c r="B17">
        <v>57</v>
      </c>
      <c r="C17">
        <v>0.2</v>
      </c>
      <c r="F17">
        <v>53</v>
      </c>
      <c r="G17">
        <v>64</v>
      </c>
    </row>
    <row r="18" spans="1:7" x14ac:dyDescent="0.25">
      <c r="A18">
        <v>26</v>
      </c>
      <c r="B18">
        <v>58</v>
      </c>
      <c r="C18">
        <v>0.3</v>
      </c>
      <c r="F18">
        <v>54</v>
      </c>
      <c r="G18">
        <v>65</v>
      </c>
    </row>
    <row r="19" spans="1:7" x14ac:dyDescent="0.25">
      <c r="A19">
        <v>27</v>
      </c>
      <c r="B19">
        <v>59</v>
      </c>
      <c r="C19">
        <v>0.3</v>
      </c>
      <c r="F19">
        <v>55</v>
      </c>
      <c r="G19">
        <v>66</v>
      </c>
    </row>
    <row r="20" spans="1:7" x14ac:dyDescent="0.25">
      <c r="A20">
        <v>28</v>
      </c>
      <c r="B20">
        <v>59</v>
      </c>
      <c r="C20">
        <v>0.3</v>
      </c>
      <c r="F20">
        <v>55</v>
      </c>
      <c r="G20">
        <v>66</v>
      </c>
    </row>
    <row r="21" spans="1:7" x14ac:dyDescent="0.25">
      <c r="A21">
        <v>29</v>
      </c>
      <c r="B21">
        <v>60</v>
      </c>
      <c r="C21">
        <v>0.4</v>
      </c>
      <c r="F21">
        <v>56</v>
      </c>
      <c r="G21">
        <v>67</v>
      </c>
    </row>
    <row r="22" spans="1:7" x14ac:dyDescent="0.25">
      <c r="A22">
        <v>30</v>
      </c>
      <c r="B22">
        <v>60</v>
      </c>
      <c r="C22">
        <v>0.4</v>
      </c>
      <c r="F22">
        <v>56</v>
      </c>
      <c r="G22">
        <v>67</v>
      </c>
    </row>
    <row r="23" spans="1:7" x14ac:dyDescent="0.25">
      <c r="A23">
        <v>31</v>
      </c>
      <c r="B23">
        <v>61</v>
      </c>
      <c r="C23">
        <v>0.5</v>
      </c>
      <c r="F23">
        <v>57</v>
      </c>
      <c r="G23">
        <v>68</v>
      </c>
    </row>
    <row r="24" spans="1:7" x14ac:dyDescent="0.25">
      <c r="A24">
        <v>32</v>
      </c>
      <c r="B24">
        <v>61</v>
      </c>
      <c r="C24">
        <v>0.5</v>
      </c>
      <c r="F24">
        <v>57</v>
      </c>
      <c r="G24">
        <v>68</v>
      </c>
    </row>
    <row r="25" spans="1:7" x14ac:dyDescent="0.25">
      <c r="A25">
        <v>33</v>
      </c>
      <c r="B25">
        <v>61</v>
      </c>
      <c r="C25">
        <v>0.5</v>
      </c>
      <c r="F25">
        <v>57</v>
      </c>
      <c r="G25">
        <v>68</v>
      </c>
    </row>
    <row r="26" spans="1:7" x14ac:dyDescent="0.25">
      <c r="A26">
        <v>34</v>
      </c>
      <c r="B26">
        <v>62</v>
      </c>
      <c r="C26">
        <v>1</v>
      </c>
      <c r="F26">
        <v>58</v>
      </c>
      <c r="G26">
        <v>69</v>
      </c>
    </row>
    <row r="27" spans="1:7" x14ac:dyDescent="0.25">
      <c r="A27">
        <v>35</v>
      </c>
      <c r="B27">
        <v>62</v>
      </c>
      <c r="C27">
        <v>1</v>
      </c>
      <c r="F27">
        <v>58</v>
      </c>
      <c r="G27">
        <v>69</v>
      </c>
    </row>
    <row r="28" spans="1:7" x14ac:dyDescent="0.25">
      <c r="A28">
        <v>36</v>
      </c>
      <c r="B28">
        <v>62</v>
      </c>
      <c r="C28">
        <v>1</v>
      </c>
      <c r="F28">
        <v>58</v>
      </c>
      <c r="G28">
        <v>69</v>
      </c>
    </row>
    <row r="29" spans="1:7" x14ac:dyDescent="0.25">
      <c r="A29">
        <v>37</v>
      </c>
      <c r="B29">
        <v>63</v>
      </c>
      <c r="C29">
        <v>1</v>
      </c>
      <c r="F29">
        <v>59</v>
      </c>
      <c r="G29">
        <v>70</v>
      </c>
    </row>
    <row r="30" spans="1:7" x14ac:dyDescent="0.25">
      <c r="A30">
        <v>38</v>
      </c>
      <c r="B30">
        <v>63</v>
      </c>
      <c r="C30">
        <v>1</v>
      </c>
      <c r="F30">
        <v>59</v>
      </c>
      <c r="G30">
        <v>70</v>
      </c>
    </row>
    <row r="31" spans="1:7" x14ac:dyDescent="0.25">
      <c r="A31">
        <v>39</v>
      </c>
      <c r="B31">
        <v>63</v>
      </c>
      <c r="C31">
        <v>1</v>
      </c>
      <c r="F31">
        <v>59</v>
      </c>
      <c r="G31">
        <v>70</v>
      </c>
    </row>
    <row r="32" spans="1:7" x14ac:dyDescent="0.25">
      <c r="A32">
        <v>40</v>
      </c>
      <c r="B32">
        <v>64</v>
      </c>
      <c r="C32">
        <v>1</v>
      </c>
      <c r="F32">
        <v>60</v>
      </c>
      <c r="G32">
        <v>71</v>
      </c>
    </row>
    <row r="33" spans="1:7" x14ac:dyDescent="0.25">
      <c r="A33">
        <v>41</v>
      </c>
      <c r="B33">
        <v>64</v>
      </c>
      <c r="C33">
        <v>1</v>
      </c>
      <c r="F33">
        <v>60</v>
      </c>
      <c r="G33">
        <v>71</v>
      </c>
    </row>
    <row r="34" spans="1:7" x14ac:dyDescent="0.25">
      <c r="A34">
        <v>42</v>
      </c>
      <c r="B34">
        <v>64</v>
      </c>
      <c r="C34">
        <v>1</v>
      </c>
      <c r="F34">
        <v>60</v>
      </c>
      <c r="G34">
        <v>71</v>
      </c>
    </row>
    <row r="35" spans="1:7" x14ac:dyDescent="0.25">
      <c r="A35">
        <v>43</v>
      </c>
      <c r="B35">
        <v>65</v>
      </c>
      <c r="C35">
        <v>1</v>
      </c>
      <c r="F35">
        <v>61</v>
      </c>
      <c r="G35">
        <v>72</v>
      </c>
    </row>
    <row r="36" spans="1:7" x14ac:dyDescent="0.25">
      <c r="A36">
        <v>44</v>
      </c>
      <c r="B36">
        <v>65</v>
      </c>
      <c r="C36">
        <v>1</v>
      </c>
      <c r="F36">
        <v>61</v>
      </c>
      <c r="G36">
        <v>72</v>
      </c>
    </row>
    <row r="37" spans="1:7" x14ac:dyDescent="0.25">
      <c r="A37">
        <v>45</v>
      </c>
      <c r="B37">
        <v>65</v>
      </c>
      <c r="C37">
        <v>1</v>
      </c>
      <c r="F37">
        <v>61</v>
      </c>
      <c r="G37">
        <v>72</v>
      </c>
    </row>
    <row r="38" spans="1:7" x14ac:dyDescent="0.25">
      <c r="A38">
        <v>46</v>
      </c>
      <c r="B38">
        <v>66</v>
      </c>
      <c r="C38">
        <v>1</v>
      </c>
      <c r="F38">
        <v>62</v>
      </c>
      <c r="G38">
        <v>72</v>
      </c>
    </row>
    <row r="39" spans="1:7" x14ac:dyDescent="0.25">
      <c r="A39">
        <v>47</v>
      </c>
      <c r="B39">
        <v>66</v>
      </c>
      <c r="C39">
        <v>1</v>
      </c>
      <c r="F39">
        <v>62</v>
      </c>
      <c r="G39">
        <v>72</v>
      </c>
    </row>
    <row r="40" spans="1:7" x14ac:dyDescent="0.25">
      <c r="A40">
        <v>48</v>
      </c>
      <c r="B40">
        <v>66</v>
      </c>
      <c r="C40">
        <v>1</v>
      </c>
      <c r="F40">
        <v>62</v>
      </c>
      <c r="G40">
        <v>73</v>
      </c>
    </row>
    <row r="41" spans="1:7" x14ac:dyDescent="0.25">
      <c r="A41">
        <v>49</v>
      </c>
      <c r="B41">
        <v>67</v>
      </c>
      <c r="C41">
        <v>1</v>
      </c>
      <c r="F41">
        <v>63</v>
      </c>
      <c r="G41">
        <v>73</v>
      </c>
    </row>
    <row r="42" spans="1:7" x14ac:dyDescent="0.25">
      <c r="A42">
        <v>50</v>
      </c>
      <c r="B42">
        <v>67</v>
      </c>
      <c r="C42">
        <v>1</v>
      </c>
      <c r="F42">
        <v>63</v>
      </c>
      <c r="G42">
        <v>74</v>
      </c>
    </row>
    <row r="43" spans="1:7" x14ac:dyDescent="0.25">
      <c r="A43">
        <v>51</v>
      </c>
      <c r="B43">
        <v>67</v>
      </c>
      <c r="C43">
        <v>1</v>
      </c>
      <c r="F43">
        <v>63</v>
      </c>
      <c r="G43">
        <v>73</v>
      </c>
    </row>
    <row r="44" spans="1:7" x14ac:dyDescent="0.25">
      <c r="A44">
        <v>52</v>
      </c>
      <c r="B44">
        <v>68</v>
      </c>
      <c r="C44">
        <v>2</v>
      </c>
      <c r="F44">
        <v>64</v>
      </c>
      <c r="G44">
        <v>74</v>
      </c>
    </row>
    <row r="45" spans="1:7" x14ac:dyDescent="0.25">
      <c r="A45">
        <v>53</v>
      </c>
      <c r="B45">
        <v>68</v>
      </c>
      <c r="C45">
        <v>2</v>
      </c>
      <c r="F45">
        <v>64</v>
      </c>
      <c r="G45">
        <v>74</v>
      </c>
    </row>
    <row r="46" spans="1:7" x14ac:dyDescent="0.25">
      <c r="A46">
        <v>54</v>
      </c>
      <c r="B46">
        <v>69</v>
      </c>
      <c r="C46">
        <v>2</v>
      </c>
      <c r="F46">
        <v>65</v>
      </c>
      <c r="G46">
        <v>75</v>
      </c>
    </row>
    <row r="47" spans="1:7" x14ac:dyDescent="0.25">
      <c r="A47">
        <v>55</v>
      </c>
      <c r="B47">
        <v>69</v>
      </c>
      <c r="C47">
        <v>2</v>
      </c>
      <c r="F47">
        <v>65</v>
      </c>
      <c r="G47">
        <v>75</v>
      </c>
    </row>
    <row r="48" spans="1:7" x14ac:dyDescent="0.25">
      <c r="A48">
        <v>56</v>
      </c>
      <c r="B48">
        <v>70</v>
      </c>
      <c r="C48">
        <v>2</v>
      </c>
      <c r="F48">
        <v>66</v>
      </c>
      <c r="G48">
        <v>76</v>
      </c>
    </row>
    <row r="49" spans="1:7" x14ac:dyDescent="0.25">
      <c r="A49">
        <v>57</v>
      </c>
      <c r="B49">
        <v>70</v>
      </c>
      <c r="C49">
        <v>2</v>
      </c>
      <c r="F49">
        <v>66</v>
      </c>
      <c r="G49">
        <v>76</v>
      </c>
    </row>
    <row r="50" spans="1:7" x14ac:dyDescent="0.25">
      <c r="A50">
        <v>58</v>
      </c>
      <c r="B50">
        <v>70</v>
      </c>
      <c r="C50">
        <v>2</v>
      </c>
      <c r="F50">
        <v>66</v>
      </c>
      <c r="G50">
        <v>76</v>
      </c>
    </row>
    <row r="51" spans="1:7" x14ac:dyDescent="0.25">
      <c r="A51">
        <v>59</v>
      </c>
      <c r="B51">
        <v>71</v>
      </c>
      <c r="C51">
        <v>3</v>
      </c>
      <c r="F51">
        <v>67</v>
      </c>
      <c r="G51">
        <v>77</v>
      </c>
    </row>
    <row r="52" spans="1:7" x14ac:dyDescent="0.25">
      <c r="A52">
        <v>60</v>
      </c>
      <c r="B52">
        <v>71</v>
      </c>
      <c r="C52">
        <v>3</v>
      </c>
      <c r="F52">
        <v>67</v>
      </c>
      <c r="G52">
        <v>77</v>
      </c>
    </row>
    <row r="53" spans="1:7" x14ac:dyDescent="0.25">
      <c r="A53">
        <v>61</v>
      </c>
      <c r="B53">
        <v>71</v>
      </c>
      <c r="C53">
        <v>3</v>
      </c>
      <c r="F53">
        <v>67</v>
      </c>
      <c r="G53">
        <v>77</v>
      </c>
    </row>
    <row r="54" spans="1:7" x14ac:dyDescent="0.25">
      <c r="A54">
        <v>62</v>
      </c>
      <c r="B54">
        <v>72</v>
      </c>
      <c r="C54">
        <v>3</v>
      </c>
      <c r="F54">
        <v>68</v>
      </c>
      <c r="G54">
        <v>78</v>
      </c>
    </row>
    <row r="55" spans="1:7" x14ac:dyDescent="0.25">
      <c r="A55">
        <v>63</v>
      </c>
      <c r="B55">
        <v>72</v>
      </c>
      <c r="C55">
        <v>3</v>
      </c>
      <c r="F55">
        <v>68</v>
      </c>
      <c r="G55">
        <v>78</v>
      </c>
    </row>
    <row r="56" spans="1:7" x14ac:dyDescent="0.25">
      <c r="A56">
        <v>64</v>
      </c>
      <c r="B56">
        <v>73</v>
      </c>
      <c r="C56">
        <v>4</v>
      </c>
      <c r="F56">
        <v>69</v>
      </c>
      <c r="G56">
        <v>79</v>
      </c>
    </row>
    <row r="57" spans="1:7" x14ac:dyDescent="0.25">
      <c r="A57">
        <v>65</v>
      </c>
      <c r="B57">
        <v>73</v>
      </c>
      <c r="C57">
        <v>4</v>
      </c>
      <c r="F57">
        <v>69</v>
      </c>
      <c r="G57">
        <v>79</v>
      </c>
    </row>
    <row r="58" spans="1:7" x14ac:dyDescent="0.25">
      <c r="A58">
        <v>66</v>
      </c>
      <c r="B58">
        <v>73</v>
      </c>
      <c r="C58">
        <v>4</v>
      </c>
      <c r="F58">
        <v>69</v>
      </c>
      <c r="G58">
        <v>79</v>
      </c>
    </row>
    <row r="59" spans="1:7" x14ac:dyDescent="0.25">
      <c r="A59">
        <v>67</v>
      </c>
      <c r="B59">
        <v>74</v>
      </c>
      <c r="C59">
        <v>4</v>
      </c>
      <c r="F59">
        <v>69</v>
      </c>
      <c r="G59">
        <v>80</v>
      </c>
    </row>
    <row r="60" spans="1:7" x14ac:dyDescent="0.25">
      <c r="A60">
        <v>68</v>
      </c>
      <c r="B60">
        <v>74</v>
      </c>
      <c r="C60">
        <v>4</v>
      </c>
      <c r="F60">
        <v>70</v>
      </c>
      <c r="G60">
        <v>80</v>
      </c>
    </row>
    <row r="61" spans="1:7" x14ac:dyDescent="0.25">
      <c r="A61">
        <v>69</v>
      </c>
      <c r="B61">
        <v>74</v>
      </c>
      <c r="C61">
        <v>4</v>
      </c>
      <c r="F61">
        <v>70</v>
      </c>
      <c r="G61">
        <v>80</v>
      </c>
    </row>
    <row r="62" spans="1:7" x14ac:dyDescent="0.25">
      <c r="A62">
        <v>70</v>
      </c>
      <c r="B62">
        <v>75</v>
      </c>
      <c r="C62">
        <v>5</v>
      </c>
      <c r="F62">
        <v>71</v>
      </c>
      <c r="G62">
        <v>81</v>
      </c>
    </row>
    <row r="63" spans="1:7" x14ac:dyDescent="0.25">
      <c r="A63">
        <v>71</v>
      </c>
      <c r="B63">
        <v>75</v>
      </c>
      <c r="C63">
        <v>5</v>
      </c>
      <c r="F63">
        <v>70</v>
      </c>
      <c r="G63">
        <v>81</v>
      </c>
    </row>
    <row r="64" spans="1:7" x14ac:dyDescent="0.25">
      <c r="A64">
        <v>72</v>
      </c>
      <c r="B64">
        <v>75</v>
      </c>
      <c r="C64">
        <v>5</v>
      </c>
      <c r="F64">
        <v>71</v>
      </c>
      <c r="G64">
        <v>82</v>
      </c>
    </row>
    <row r="65" spans="1:7" x14ac:dyDescent="0.25">
      <c r="A65">
        <v>73</v>
      </c>
      <c r="B65">
        <v>76</v>
      </c>
      <c r="C65">
        <v>5</v>
      </c>
      <c r="F65">
        <v>72</v>
      </c>
      <c r="G65">
        <v>82</v>
      </c>
    </row>
    <row r="66" spans="1:7" x14ac:dyDescent="0.25">
      <c r="A66">
        <v>74</v>
      </c>
      <c r="B66">
        <v>76</v>
      </c>
      <c r="C66">
        <v>5</v>
      </c>
      <c r="F66">
        <v>72</v>
      </c>
      <c r="G66">
        <v>83</v>
      </c>
    </row>
    <row r="67" spans="1:7" x14ac:dyDescent="0.25">
      <c r="A67">
        <v>75</v>
      </c>
      <c r="B67">
        <v>77</v>
      </c>
      <c r="C67">
        <v>6</v>
      </c>
      <c r="F67">
        <v>72</v>
      </c>
      <c r="G67">
        <v>83</v>
      </c>
    </row>
    <row r="68" spans="1:7" x14ac:dyDescent="0.25">
      <c r="A68">
        <v>76</v>
      </c>
      <c r="B68">
        <v>77</v>
      </c>
      <c r="C68">
        <v>6</v>
      </c>
      <c r="F68">
        <v>73</v>
      </c>
      <c r="G68">
        <v>83</v>
      </c>
    </row>
    <row r="69" spans="1:7" x14ac:dyDescent="0.25">
      <c r="A69">
        <v>77</v>
      </c>
      <c r="B69">
        <v>78</v>
      </c>
      <c r="C69">
        <v>7</v>
      </c>
      <c r="F69">
        <v>73</v>
      </c>
      <c r="G69">
        <v>84</v>
      </c>
    </row>
    <row r="70" spans="1:7" x14ac:dyDescent="0.25">
      <c r="A70">
        <v>78</v>
      </c>
      <c r="B70">
        <v>78</v>
      </c>
      <c r="C70">
        <v>7</v>
      </c>
      <c r="F70">
        <v>74</v>
      </c>
      <c r="G70">
        <v>84</v>
      </c>
    </row>
    <row r="71" spans="1:7" x14ac:dyDescent="0.25">
      <c r="A71">
        <v>79</v>
      </c>
      <c r="B71">
        <v>79</v>
      </c>
      <c r="C71">
        <v>8</v>
      </c>
      <c r="F71">
        <v>74</v>
      </c>
      <c r="G71">
        <v>85</v>
      </c>
    </row>
    <row r="72" spans="1:7" x14ac:dyDescent="0.25">
      <c r="A72">
        <v>80</v>
      </c>
      <c r="B72">
        <v>79</v>
      </c>
      <c r="C72">
        <v>8</v>
      </c>
      <c r="F72">
        <v>75</v>
      </c>
      <c r="G72">
        <v>85</v>
      </c>
    </row>
    <row r="73" spans="1:7" x14ac:dyDescent="0.25">
      <c r="A73">
        <v>81</v>
      </c>
      <c r="B73">
        <v>80</v>
      </c>
      <c r="C73">
        <v>9</v>
      </c>
      <c r="F73">
        <v>75</v>
      </c>
      <c r="G73">
        <v>86</v>
      </c>
    </row>
    <row r="74" spans="1:7" x14ac:dyDescent="0.25">
      <c r="A74">
        <v>82</v>
      </c>
      <c r="B74">
        <v>80</v>
      </c>
      <c r="C74">
        <v>9</v>
      </c>
      <c r="F74">
        <v>76</v>
      </c>
      <c r="G74">
        <v>86</v>
      </c>
    </row>
    <row r="75" spans="1:7" x14ac:dyDescent="0.25">
      <c r="A75">
        <v>83</v>
      </c>
      <c r="B75">
        <v>81</v>
      </c>
      <c r="C75">
        <v>10</v>
      </c>
      <c r="F75">
        <v>76</v>
      </c>
      <c r="G75">
        <v>87</v>
      </c>
    </row>
    <row r="76" spans="1:7" x14ac:dyDescent="0.25">
      <c r="A76">
        <v>84</v>
      </c>
      <c r="B76">
        <v>82</v>
      </c>
      <c r="C76">
        <v>12</v>
      </c>
      <c r="F76">
        <v>77</v>
      </c>
      <c r="G76">
        <v>88</v>
      </c>
    </row>
    <row r="77" spans="1:7" x14ac:dyDescent="0.25">
      <c r="A77">
        <v>85</v>
      </c>
      <c r="B77">
        <v>82</v>
      </c>
      <c r="C77">
        <v>12</v>
      </c>
      <c r="F77">
        <v>77</v>
      </c>
      <c r="G77">
        <v>88</v>
      </c>
    </row>
    <row r="78" spans="1:7" x14ac:dyDescent="0.25">
      <c r="A78">
        <v>86</v>
      </c>
      <c r="B78">
        <v>83</v>
      </c>
      <c r="C78">
        <v>13</v>
      </c>
      <c r="F78">
        <v>78</v>
      </c>
      <c r="G78">
        <v>89</v>
      </c>
    </row>
    <row r="79" spans="1:7" x14ac:dyDescent="0.25">
      <c r="A79">
        <v>87</v>
      </c>
      <c r="B79">
        <v>84</v>
      </c>
      <c r="C79">
        <v>14</v>
      </c>
      <c r="F79">
        <v>79</v>
      </c>
      <c r="G79">
        <v>90</v>
      </c>
    </row>
    <row r="80" spans="1:7" x14ac:dyDescent="0.25">
      <c r="A80">
        <v>88</v>
      </c>
      <c r="B80">
        <v>84</v>
      </c>
      <c r="C80">
        <v>14</v>
      </c>
      <c r="F80">
        <v>79</v>
      </c>
      <c r="G80">
        <v>90</v>
      </c>
    </row>
    <row r="81" spans="1:7" x14ac:dyDescent="0.25">
      <c r="A81">
        <v>89</v>
      </c>
      <c r="B81">
        <v>85</v>
      </c>
      <c r="C81">
        <v>16</v>
      </c>
      <c r="F81">
        <v>80</v>
      </c>
      <c r="G81">
        <v>90</v>
      </c>
    </row>
    <row r="82" spans="1:7" x14ac:dyDescent="0.25">
      <c r="A82">
        <v>90</v>
      </c>
      <c r="B82">
        <v>85</v>
      </c>
      <c r="C82">
        <v>16</v>
      </c>
      <c r="F82">
        <v>80</v>
      </c>
      <c r="G82">
        <v>91</v>
      </c>
    </row>
    <row r="83" spans="1:7" x14ac:dyDescent="0.25">
      <c r="A83">
        <v>91</v>
      </c>
      <c r="B83">
        <v>86</v>
      </c>
      <c r="C83">
        <v>18</v>
      </c>
      <c r="F83">
        <v>81</v>
      </c>
      <c r="G83">
        <v>91</v>
      </c>
    </row>
    <row r="84" spans="1:7" x14ac:dyDescent="0.25">
      <c r="A84">
        <v>92</v>
      </c>
      <c r="B84">
        <v>86</v>
      </c>
      <c r="C84">
        <v>18</v>
      </c>
      <c r="F84">
        <v>81</v>
      </c>
      <c r="G84">
        <v>92</v>
      </c>
    </row>
    <row r="85" spans="1:7" x14ac:dyDescent="0.25">
      <c r="A85">
        <v>93</v>
      </c>
      <c r="B85">
        <v>87</v>
      </c>
      <c r="C85">
        <v>19</v>
      </c>
      <c r="F85">
        <v>82</v>
      </c>
      <c r="G85">
        <v>93</v>
      </c>
    </row>
    <row r="86" spans="1:7" x14ac:dyDescent="0.25">
      <c r="A86">
        <v>94</v>
      </c>
      <c r="B86">
        <v>88</v>
      </c>
      <c r="C86">
        <v>21</v>
      </c>
      <c r="F86">
        <v>83</v>
      </c>
      <c r="G86">
        <v>94</v>
      </c>
    </row>
    <row r="87" spans="1:7" x14ac:dyDescent="0.25">
      <c r="A87">
        <v>95</v>
      </c>
      <c r="B87">
        <v>89</v>
      </c>
      <c r="C87">
        <v>23</v>
      </c>
      <c r="F87">
        <v>84</v>
      </c>
      <c r="G87">
        <v>94</v>
      </c>
    </row>
    <row r="88" spans="1:7" x14ac:dyDescent="0.25">
      <c r="A88">
        <v>96</v>
      </c>
      <c r="B88">
        <v>89</v>
      </c>
      <c r="C88">
        <v>23</v>
      </c>
      <c r="F88">
        <v>84</v>
      </c>
      <c r="G88">
        <v>95</v>
      </c>
    </row>
    <row r="89" spans="1:7" x14ac:dyDescent="0.25">
      <c r="A89">
        <v>97</v>
      </c>
      <c r="B89">
        <v>90</v>
      </c>
      <c r="C89">
        <v>25</v>
      </c>
      <c r="F89">
        <v>85</v>
      </c>
      <c r="G89">
        <v>95</v>
      </c>
    </row>
    <row r="90" spans="1:7" x14ac:dyDescent="0.25">
      <c r="A90">
        <v>98</v>
      </c>
      <c r="B90">
        <v>90</v>
      </c>
      <c r="C90">
        <v>25</v>
      </c>
      <c r="F90">
        <v>85</v>
      </c>
      <c r="G90">
        <v>96</v>
      </c>
    </row>
    <row r="91" spans="1:7" x14ac:dyDescent="0.25">
      <c r="A91">
        <v>99</v>
      </c>
      <c r="B91">
        <v>91</v>
      </c>
      <c r="C91">
        <v>27</v>
      </c>
      <c r="F91">
        <v>86</v>
      </c>
      <c r="G91">
        <v>97</v>
      </c>
    </row>
    <row r="92" spans="1:7" x14ac:dyDescent="0.25">
      <c r="A92">
        <v>100</v>
      </c>
      <c r="B92">
        <v>92</v>
      </c>
      <c r="C92">
        <v>30</v>
      </c>
      <c r="F92">
        <v>87</v>
      </c>
      <c r="G92">
        <v>98</v>
      </c>
    </row>
    <row r="93" spans="1:7" x14ac:dyDescent="0.25">
      <c r="A93">
        <v>101</v>
      </c>
      <c r="B93">
        <v>93</v>
      </c>
      <c r="C93">
        <v>32</v>
      </c>
      <c r="F93">
        <v>88</v>
      </c>
      <c r="G93">
        <v>98</v>
      </c>
    </row>
    <row r="94" spans="1:7" x14ac:dyDescent="0.25">
      <c r="A94">
        <v>102</v>
      </c>
      <c r="B94">
        <v>93</v>
      </c>
      <c r="C94">
        <v>32</v>
      </c>
      <c r="F94">
        <v>88</v>
      </c>
      <c r="G94">
        <v>99</v>
      </c>
    </row>
    <row r="95" spans="1:7" x14ac:dyDescent="0.25">
      <c r="A95">
        <v>103</v>
      </c>
      <c r="B95">
        <v>94</v>
      </c>
      <c r="C95">
        <v>34</v>
      </c>
      <c r="F95">
        <v>89</v>
      </c>
      <c r="G95">
        <v>100</v>
      </c>
    </row>
    <row r="96" spans="1:7" x14ac:dyDescent="0.25">
      <c r="A96">
        <v>104</v>
      </c>
      <c r="B96">
        <v>95</v>
      </c>
      <c r="C96">
        <v>37</v>
      </c>
      <c r="F96">
        <v>90</v>
      </c>
      <c r="G96">
        <v>100</v>
      </c>
    </row>
    <row r="97" spans="1:7" x14ac:dyDescent="0.25">
      <c r="A97">
        <v>105</v>
      </c>
      <c r="B97">
        <v>95</v>
      </c>
      <c r="C97">
        <v>37</v>
      </c>
      <c r="F97">
        <v>90</v>
      </c>
      <c r="G97">
        <v>101</v>
      </c>
    </row>
    <row r="98" spans="1:7" x14ac:dyDescent="0.25">
      <c r="A98">
        <v>106</v>
      </c>
      <c r="B98">
        <v>96</v>
      </c>
      <c r="C98">
        <v>39</v>
      </c>
      <c r="F98">
        <v>91</v>
      </c>
      <c r="G98">
        <v>101</v>
      </c>
    </row>
    <row r="99" spans="1:7" x14ac:dyDescent="0.25">
      <c r="A99">
        <v>107</v>
      </c>
      <c r="B99">
        <v>97</v>
      </c>
      <c r="C99">
        <v>42</v>
      </c>
      <c r="F99">
        <v>91</v>
      </c>
      <c r="G99">
        <v>102</v>
      </c>
    </row>
    <row r="100" spans="1:7" x14ac:dyDescent="0.25">
      <c r="A100">
        <v>108</v>
      </c>
      <c r="B100">
        <v>97</v>
      </c>
      <c r="C100">
        <v>43</v>
      </c>
      <c r="F100">
        <v>92</v>
      </c>
      <c r="G100">
        <v>103</v>
      </c>
    </row>
    <row r="101" spans="1:7" x14ac:dyDescent="0.25">
      <c r="A101">
        <v>109</v>
      </c>
      <c r="B101">
        <v>98</v>
      </c>
      <c r="C101">
        <v>45</v>
      </c>
      <c r="F101">
        <v>93</v>
      </c>
      <c r="G101">
        <v>103</v>
      </c>
    </row>
    <row r="102" spans="1:7" x14ac:dyDescent="0.25">
      <c r="A102">
        <v>110</v>
      </c>
      <c r="B102">
        <v>99</v>
      </c>
      <c r="C102">
        <v>47</v>
      </c>
      <c r="F102">
        <v>93</v>
      </c>
      <c r="G102">
        <v>104</v>
      </c>
    </row>
    <row r="103" spans="1:7" x14ac:dyDescent="0.25">
      <c r="A103">
        <v>111</v>
      </c>
      <c r="B103">
        <v>99</v>
      </c>
      <c r="C103">
        <v>47</v>
      </c>
      <c r="F103">
        <v>94</v>
      </c>
      <c r="G103">
        <v>105</v>
      </c>
    </row>
    <row r="104" spans="1:7" x14ac:dyDescent="0.25">
      <c r="A104">
        <v>112</v>
      </c>
      <c r="B104">
        <v>100</v>
      </c>
      <c r="C104">
        <v>50</v>
      </c>
      <c r="F104">
        <v>95</v>
      </c>
      <c r="G104">
        <v>106</v>
      </c>
    </row>
    <row r="105" spans="1:7" x14ac:dyDescent="0.25">
      <c r="A105">
        <v>113</v>
      </c>
      <c r="B105">
        <v>101</v>
      </c>
      <c r="C105">
        <v>53</v>
      </c>
      <c r="F105">
        <v>96</v>
      </c>
      <c r="G105">
        <v>106</v>
      </c>
    </row>
    <row r="106" spans="1:7" x14ac:dyDescent="0.25">
      <c r="A106">
        <v>114</v>
      </c>
      <c r="B106">
        <v>102</v>
      </c>
      <c r="C106">
        <v>55</v>
      </c>
      <c r="F106">
        <v>96</v>
      </c>
      <c r="G106">
        <v>107</v>
      </c>
    </row>
    <row r="107" spans="1:7" x14ac:dyDescent="0.25">
      <c r="A107">
        <v>115</v>
      </c>
      <c r="B107">
        <v>102</v>
      </c>
      <c r="C107">
        <v>55</v>
      </c>
      <c r="F107">
        <v>97</v>
      </c>
      <c r="G107">
        <v>108</v>
      </c>
    </row>
    <row r="108" spans="1:7" x14ac:dyDescent="0.25">
      <c r="A108">
        <v>116</v>
      </c>
      <c r="B108">
        <v>103</v>
      </c>
      <c r="C108">
        <v>58</v>
      </c>
      <c r="F108">
        <v>98</v>
      </c>
      <c r="G108">
        <v>108</v>
      </c>
    </row>
    <row r="109" spans="1:7" x14ac:dyDescent="0.25">
      <c r="A109">
        <v>117</v>
      </c>
      <c r="B109">
        <v>104</v>
      </c>
      <c r="C109">
        <v>61</v>
      </c>
      <c r="F109">
        <v>99</v>
      </c>
      <c r="G109">
        <v>109</v>
      </c>
    </row>
    <row r="110" spans="1:7" x14ac:dyDescent="0.25">
      <c r="A110">
        <v>118</v>
      </c>
      <c r="B110">
        <v>105</v>
      </c>
      <c r="C110">
        <v>63</v>
      </c>
      <c r="F110">
        <v>99</v>
      </c>
      <c r="G110">
        <v>110</v>
      </c>
    </row>
    <row r="111" spans="1:7" x14ac:dyDescent="0.25">
      <c r="A111">
        <v>119</v>
      </c>
      <c r="B111">
        <v>106</v>
      </c>
      <c r="C111">
        <v>66</v>
      </c>
      <c r="F111">
        <v>100</v>
      </c>
      <c r="G111">
        <v>111</v>
      </c>
    </row>
    <row r="112" spans="1:7" x14ac:dyDescent="0.25">
      <c r="A112">
        <v>120</v>
      </c>
      <c r="B112">
        <v>106</v>
      </c>
      <c r="C112">
        <v>66</v>
      </c>
      <c r="F112">
        <v>101</v>
      </c>
      <c r="G112">
        <v>111</v>
      </c>
    </row>
    <row r="113" spans="1:7" x14ac:dyDescent="0.25">
      <c r="A113">
        <v>121</v>
      </c>
      <c r="B113">
        <v>107</v>
      </c>
      <c r="C113">
        <v>68</v>
      </c>
      <c r="F113">
        <v>102</v>
      </c>
      <c r="G113">
        <v>112</v>
      </c>
    </row>
    <row r="114" spans="1:7" x14ac:dyDescent="0.25">
      <c r="A114">
        <v>122</v>
      </c>
      <c r="B114">
        <v>108</v>
      </c>
      <c r="C114">
        <v>70</v>
      </c>
      <c r="F114">
        <v>102</v>
      </c>
      <c r="G114">
        <v>113</v>
      </c>
    </row>
    <row r="115" spans="1:7" x14ac:dyDescent="0.25">
      <c r="A115">
        <v>123</v>
      </c>
      <c r="B115">
        <v>108</v>
      </c>
      <c r="C115">
        <v>70</v>
      </c>
      <c r="F115">
        <v>103</v>
      </c>
      <c r="G115">
        <v>113</v>
      </c>
    </row>
    <row r="116" spans="1:7" x14ac:dyDescent="0.25">
      <c r="A116">
        <v>124</v>
      </c>
      <c r="B116">
        <v>109</v>
      </c>
      <c r="C116">
        <v>73</v>
      </c>
      <c r="F116">
        <v>104</v>
      </c>
      <c r="G116">
        <v>114</v>
      </c>
    </row>
    <row r="117" spans="1:7" x14ac:dyDescent="0.25">
      <c r="A117">
        <v>125</v>
      </c>
      <c r="B117">
        <v>110</v>
      </c>
      <c r="C117">
        <v>75</v>
      </c>
      <c r="F117">
        <v>104</v>
      </c>
      <c r="G117">
        <v>115</v>
      </c>
    </row>
    <row r="118" spans="1:7" x14ac:dyDescent="0.25">
      <c r="A118">
        <v>126</v>
      </c>
      <c r="B118">
        <v>111</v>
      </c>
      <c r="C118">
        <v>77</v>
      </c>
      <c r="F118">
        <v>105</v>
      </c>
      <c r="G118">
        <v>116</v>
      </c>
    </row>
    <row r="119" spans="1:7" x14ac:dyDescent="0.25">
      <c r="A119">
        <v>127</v>
      </c>
      <c r="B119">
        <v>111</v>
      </c>
      <c r="C119">
        <v>77</v>
      </c>
      <c r="F119">
        <v>106</v>
      </c>
      <c r="G119">
        <v>116</v>
      </c>
    </row>
    <row r="120" spans="1:7" x14ac:dyDescent="0.25">
      <c r="A120">
        <v>128</v>
      </c>
      <c r="B120">
        <v>112</v>
      </c>
      <c r="C120">
        <v>79</v>
      </c>
      <c r="F120">
        <v>106</v>
      </c>
      <c r="G120">
        <v>117</v>
      </c>
    </row>
    <row r="121" spans="1:7" x14ac:dyDescent="0.25">
      <c r="A121">
        <v>129</v>
      </c>
      <c r="B121">
        <v>113</v>
      </c>
      <c r="C121">
        <v>81</v>
      </c>
      <c r="F121">
        <v>107</v>
      </c>
      <c r="G121">
        <v>118</v>
      </c>
    </row>
    <row r="122" spans="1:7" x14ac:dyDescent="0.25">
      <c r="A122">
        <v>130</v>
      </c>
      <c r="B122">
        <v>113</v>
      </c>
      <c r="C122">
        <v>81</v>
      </c>
      <c r="F122">
        <v>108</v>
      </c>
      <c r="G122">
        <v>118</v>
      </c>
    </row>
    <row r="123" spans="1:7" x14ac:dyDescent="0.25">
      <c r="A123">
        <v>131</v>
      </c>
      <c r="B123">
        <v>114</v>
      </c>
      <c r="C123">
        <v>82</v>
      </c>
      <c r="F123">
        <v>108</v>
      </c>
      <c r="G123">
        <v>119</v>
      </c>
    </row>
    <row r="124" spans="1:7" x14ac:dyDescent="0.25">
      <c r="A124">
        <v>132</v>
      </c>
      <c r="B124">
        <v>114</v>
      </c>
      <c r="C124">
        <v>82</v>
      </c>
      <c r="F124">
        <v>109</v>
      </c>
      <c r="G124">
        <v>119</v>
      </c>
    </row>
    <row r="125" spans="1:7" x14ac:dyDescent="0.25">
      <c r="A125">
        <v>133</v>
      </c>
      <c r="B125">
        <v>115</v>
      </c>
      <c r="C125">
        <v>84</v>
      </c>
      <c r="F125">
        <v>109</v>
      </c>
      <c r="G125">
        <v>120</v>
      </c>
    </row>
    <row r="126" spans="1:7" x14ac:dyDescent="0.25">
      <c r="A126">
        <v>134</v>
      </c>
      <c r="B126">
        <v>115</v>
      </c>
      <c r="C126">
        <v>84</v>
      </c>
      <c r="F126">
        <v>109</v>
      </c>
      <c r="G126">
        <v>120</v>
      </c>
    </row>
    <row r="127" spans="1:7" x14ac:dyDescent="0.25">
      <c r="A127">
        <v>135</v>
      </c>
      <c r="B127">
        <v>116</v>
      </c>
      <c r="C127">
        <v>86</v>
      </c>
      <c r="F127">
        <v>110</v>
      </c>
      <c r="G127">
        <v>121</v>
      </c>
    </row>
    <row r="128" spans="1:7" x14ac:dyDescent="0.25">
      <c r="A128">
        <v>136</v>
      </c>
      <c r="B128">
        <v>117</v>
      </c>
      <c r="C128">
        <v>87</v>
      </c>
      <c r="F128">
        <v>111</v>
      </c>
      <c r="G128">
        <v>122</v>
      </c>
    </row>
    <row r="129" spans="1:7" x14ac:dyDescent="0.25">
      <c r="A129">
        <v>137</v>
      </c>
      <c r="B129">
        <v>118</v>
      </c>
      <c r="C129">
        <v>88</v>
      </c>
      <c r="F129">
        <v>112</v>
      </c>
      <c r="G129">
        <v>123</v>
      </c>
    </row>
    <row r="130" spans="1:7" x14ac:dyDescent="0.25">
      <c r="A130">
        <v>138</v>
      </c>
      <c r="B130">
        <v>119</v>
      </c>
      <c r="C130">
        <v>90</v>
      </c>
      <c r="F130">
        <v>113</v>
      </c>
      <c r="G130">
        <v>124</v>
      </c>
    </row>
    <row r="131" spans="1:7" x14ac:dyDescent="0.25">
      <c r="A131">
        <v>139</v>
      </c>
      <c r="B131">
        <v>120</v>
      </c>
      <c r="C131">
        <v>91</v>
      </c>
      <c r="F131">
        <v>114</v>
      </c>
      <c r="G131">
        <v>125</v>
      </c>
    </row>
    <row r="132" spans="1:7" x14ac:dyDescent="0.25">
      <c r="A132">
        <v>140</v>
      </c>
      <c r="B132">
        <v>121</v>
      </c>
      <c r="C132">
        <v>92</v>
      </c>
      <c r="F132">
        <v>115</v>
      </c>
      <c r="G132">
        <v>126</v>
      </c>
    </row>
    <row r="133" spans="1:7" x14ac:dyDescent="0.25">
      <c r="A133">
        <v>141</v>
      </c>
      <c r="B133">
        <v>121</v>
      </c>
      <c r="C133">
        <v>92</v>
      </c>
      <c r="F133">
        <v>115</v>
      </c>
      <c r="G133">
        <v>126</v>
      </c>
    </row>
    <row r="134" spans="1:7" x14ac:dyDescent="0.25">
      <c r="A134">
        <v>142</v>
      </c>
      <c r="B134">
        <v>122</v>
      </c>
      <c r="C134">
        <v>93</v>
      </c>
      <c r="F134">
        <v>116</v>
      </c>
      <c r="G134">
        <v>127</v>
      </c>
    </row>
    <row r="135" spans="1:7" x14ac:dyDescent="0.25">
      <c r="A135">
        <v>143</v>
      </c>
      <c r="B135">
        <v>123</v>
      </c>
      <c r="C135">
        <v>94</v>
      </c>
      <c r="F135">
        <v>117</v>
      </c>
      <c r="G135">
        <v>128</v>
      </c>
    </row>
    <row r="136" spans="1:7" x14ac:dyDescent="0.25">
      <c r="A136">
        <v>144</v>
      </c>
      <c r="B136">
        <v>124</v>
      </c>
      <c r="C136">
        <v>95</v>
      </c>
      <c r="F136">
        <v>118</v>
      </c>
      <c r="G136">
        <v>128</v>
      </c>
    </row>
    <row r="137" spans="1:7" x14ac:dyDescent="0.25">
      <c r="A137">
        <v>145</v>
      </c>
      <c r="B137">
        <v>124</v>
      </c>
      <c r="C137">
        <v>95</v>
      </c>
      <c r="F137">
        <v>118</v>
      </c>
      <c r="G137">
        <v>129</v>
      </c>
    </row>
    <row r="138" spans="1:7" x14ac:dyDescent="0.25">
      <c r="A138">
        <v>146</v>
      </c>
      <c r="B138">
        <v>125</v>
      </c>
      <c r="C138">
        <v>95</v>
      </c>
      <c r="F138">
        <v>119</v>
      </c>
      <c r="G138">
        <v>130</v>
      </c>
    </row>
    <row r="139" spans="1:7" x14ac:dyDescent="0.25">
      <c r="A139">
        <v>147</v>
      </c>
      <c r="B139">
        <v>126</v>
      </c>
      <c r="C139">
        <v>96</v>
      </c>
      <c r="F139">
        <v>120</v>
      </c>
      <c r="G139">
        <v>131</v>
      </c>
    </row>
    <row r="140" spans="1:7" x14ac:dyDescent="0.25">
      <c r="A140">
        <v>148</v>
      </c>
      <c r="B140">
        <v>127</v>
      </c>
      <c r="C140">
        <v>96</v>
      </c>
      <c r="F140">
        <v>121</v>
      </c>
      <c r="G140">
        <v>131</v>
      </c>
    </row>
    <row r="141" spans="1:7" x14ac:dyDescent="0.25">
      <c r="A141">
        <v>149</v>
      </c>
      <c r="B141">
        <v>128</v>
      </c>
      <c r="C141">
        <v>97</v>
      </c>
      <c r="F141">
        <v>122</v>
      </c>
      <c r="G141">
        <v>132</v>
      </c>
    </row>
    <row r="142" spans="1:7" x14ac:dyDescent="0.25">
      <c r="A142">
        <v>150</v>
      </c>
      <c r="B142">
        <v>129</v>
      </c>
      <c r="C142">
        <v>97</v>
      </c>
      <c r="F142">
        <v>123</v>
      </c>
      <c r="G142">
        <v>133</v>
      </c>
    </row>
    <row r="143" spans="1:7" x14ac:dyDescent="0.25">
      <c r="A143">
        <v>151</v>
      </c>
      <c r="B143">
        <v>129</v>
      </c>
      <c r="C143">
        <v>97</v>
      </c>
      <c r="F143">
        <v>123</v>
      </c>
      <c r="G143">
        <v>134</v>
      </c>
    </row>
    <row r="144" spans="1:7" x14ac:dyDescent="0.25">
      <c r="A144">
        <v>152</v>
      </c>
      <c r="B144">
        <v>130</v>
      </c>
      <c r="C144">
        <v>98</v>
      </c>
      <c r="F144">
        <v>124</v>
      </c>
      <c r="G144">
        <v>134</v>
      </c>
    </row>
    <row r="145" spans="1:7" x14ac:dyDescent="0.25">
      <c r="A145">
        <v>153</v>
      </c>
      <c r="B145">
        <v>131</v>
      </c>
      <c r="C145">
        <v>98</v>
      </c>
      <c r="F145">
        <v>125</v>
      </c>
      <c r="G145">
        <v>135</v>
      </c>
    </row>
    <row r="146" spans="1:7" x14ac:dyDescent="0.25">
      <c r="A146">
        <v>154</v>
      </c>
      <c r="B146">
        <v>132</v>
      </c>
      <c r="C146">
        <v>98</v>
      </c>
      <c r="F146">
        <v>126</v>
      </c>
      <c r="G146">
        <v>136</v>
      </c>
    </row>
    <row r="147" spans="1:7" x14ac:dyDescent="0.25">
      <c r="A147">
        <v>155</v>
      </c>
      <c r="B147">
        <v>133</v>
      </c>
      <c r="C147">
        <v>99</v>
      </c>
      <c r="F147">
        <v>127</v>
      </c>
      <c r="G147">
        <v>137</v>
      </c>
    </row>
    <row r="148" spans="1:7" x14ac:dyDescent="0.25">
      <c r="A148">
        <v>156</v>
      </c>
      <c r="B148">
        <v>134</v>
      </c>
      <c r="C148">
        <v>99</v>
      </c>
      <c r="F148">
        <v>127</v>
      </c>
      <c r="G148">
        <v>138</v>
      </c>
    </row>
    <row r="149" spans="1:7" x14ac:dyDescent="0.25">
      <c r="A149">
        <v>157</v>
      </c>
      <c r="B149">
        <v>135</v>
      </c>
      <c r="C149">
        <v>99</v>
      </c>
      <c r="F149">
        <v>128</v>
      </c>
      <c r="G149">
        <v>139</v>
      </c>
    </row>
    <row r="150" spans="1:7" x14ac:dyDescent="0.25">
      <c r="A150">
        <v>158</v>
      </c>
      <c r="B150">
        <v>136</v>
      </c>
      <c r="C150">
        <v>99</v>
      </c>
      <c r="F150">
        <v>129</v>
      </c>
      <c r="G150">
        <v>140</v>
      </c>
    </row>
    <row r="151" spans="1:7" x14ac:dyDescent="0.25">
      <c r="A151">
        <v>159</v>
      </c>
      <c r="B151">
        <v>136</v>
      </c>
      <c r="C151">
        <v>99</v>
      </c>
      <c r="F151">
        <v>129</v>
      </c>
      <c r="G151">
        <v>140</v>
      </c>
    </row>
    <row r="152" spans="1:7" x14ac:dyDescent="0.25">
      <c r="A152">
        <v>160</v>
      </c>
      <c r="B152">
        <v>137</v>
      </c>
      <c r="C152">
        <v>99</v>
      </c>
      <c r="F152">
        <v>130</v>
      </c>
      <c r="G152">
        <v>141</v>
      </c>
    </row>
    <row r="153" spans="1:7" x14ac:dyDescent="0.25">
      <c r="A153">
        <v>161</v>
      </c>
      <c r="B153">
        <v>138</v>
      </c>
      <c r="C153">
        <v>99</v>
      </c>
      <c r="F153">
        <v>131</v>
      </c>
      <c r="G153">
        <v>142</v>
      </c>
    </row>
    <row r="154" spans="1:7" x14ac:dyDescent="0.25">
      <c r="A154">
        <v>162</v>
      </c>
      <c r="B154">
        <v>138</v>
      </c>
      <c r="C154">
        <v>99</v>
      </c>
      <c r="F154">
        <v>131</v>
      </c>
      <c r="G154">
        <v>142</v>
      </c>
    </row>
    <row r="155" spans="1:7" x14ac:dyDescent="0.25">
      <c r="A155">
        <v>163</v>
      </c>
      <c r="B155">
        <v>139</v>
      </c>
      <c r="C155">
        <v>99.5</v>
      </c>
      <c r="F155">
        <v>132</v>
      </c>
      <c r="G155">
        <v>143</v>
      </c>
    </row>
    <row r="156" spans="1:7" x14ac:dyDescent="0.25">
      <c r="A156">
        <v>164</v>
      </c>
      <c r="B156">
        <v>140</v>
      </c>
      <c r="C156">
        <v>99.6</v>
      </c>
      <c r="F156">
        <v>133</v>
      </c>
      <c r="G156">
        <v>144</v>
      </c>
    </row>
    <row r="157" spans="1:7" x14ac:dyDescent="0.25">
      <c r="A157">
        <v>165</v>
      </c>
      <c r="B157">
        <v>143</v>
      </c>
      <c r="C157">
        <v>99.8</v>
      </c>
      <c r="F157">
        <v>136</v>
      </c>
      <c r="G157">
        <v>147</v>
      </c>
    </row>
    <row r="158" spans="1:7" x14ac:dyDescent="0.25">
      <c r="A158">
        <v>166</v>
      </c>
      <c r="B158">
        <v>144</v>
      </c>
      <c r="C158">
        <v>99.8</v>
      </c>
      <c r="F158">
        <v>137</v>
      </c>
      <c r="G158">
        <v>148</v>
      </c>
    </row>
    <row r="159" spans="1:7" x14ac:dyDescent="0.25">
      <c r="A159">
        <v>167</v>
      </c>
      <c r="B159">
        <v>144</v>
      </c>
      <c r="C159">
        <v>99.8</v>
      </c>
      <c r="F159">
        <v>137</v>
      </c>
      <c r="G159">
        <v>148</v>
      </c>
    </row>
    <row r="160" spans="1:7" x14ac:dyDescent="0.25">
      <c r="A160">
        <v>168</v>
      </c>
      <c r="B160">
        <v>145</v>
      </c>
      <c r="C160">
        <v>99.9</v>
      </c>
      <c r="F160">
        <v>138</v>
      </c>
      <c r="G160">
        <v>149</v>
      </c>
    </row>
    <row r="161" spans="1:7" x14ac:dyDescent="0.25">
      <c r="A161">
        <v>169</v>
      </c>
      <c r="B161">
        <v>145</v>
      </c>
      <c r="C161">
        <v>99.9</v>
      </c>
      <c r="F161">
        <v>138</v>
      </c>
      <c r="G161">
        <v>149</v>
      </c>
    </row>
    <row r="162" spans="1:7" x14ac:dyDescent="0.25">
      <c r="A162">
        <v>170</v>
      </c>
      <c r="B162">
        <v>146</v>
      </c>
      <c r="C162">
        <v>99.9</v>
      </c>
      <c r="F162">
        <v>139</v>
      </c>
      <c r="G162">
        <v>150</v>
      </c>
    </row>
    <row r="163" spans="1:7" x14ac:dyDescent="0.25">
      <c r="A163">
        <v>171</v>
      </c>
      <c r="B163">
        <v>147</v>
      </c>
      <c r="C163">
        <v>99.9</v>
      </c>
      <c r="F163">
        <v>140</v>
      </c>
      <c r="G163">
        <v>151</v>
      </c>
    </row>
    <row r="164" spans="1:7" x14ac:dyDescent="0.25">
      <c r="A164">
        <v>172</v>
      </c>
      <c r="B164">
        <v>148</v>
      </c>
      <c r="C164">
        <v>99.9</v>
      </c>
      <c r="F164">
        <v>141</v>
      </c>
      <c r="G164">
        <v>152</v>
      </c>
    </row>
    <row r="165" spans="1:7" x14ac:dyDescent="0.25">
      <c r="A165">
        <v>173</v>
      </c>
      <c r="B165">
        <v>149</v>
      </c>
      <c r="C165">
        <v>99.9</v>
      </c>
      <c r="F165">
        <v>142</v>
      </c>
      <c r="G165">
        <v>153</v>
      </c>
    </row>
    <row r="166" spans="1:7" x14ac:dyDescent="0.25">
      <c r="A166">
        <v>174</v>
      </c>
      <c r="B166">
        <v>150</v>
      </c>
      <c r="C166" s="18" t="s">
        <v>68</v>
      </c>
      <c r="F166">
        <v>143</v>
      </c>
      <c r="G166">
        <v>154</v>
      </c>
    </row>
    <row r="167" spans="1:7" x14ac:dyDescent="0.25">
      <c r="A167">
        <v>175</v>
      </c>
      <c r="B167">
        <v>151</v>
      </c>
      <c r="C167" s="18" t="s">
        <v>68</v>
      </c>
      <c r="F167">
        <v>144</v>
      </c>
      <c r="G167">
        <v>155</v>
      </c>
    </row>
    <row r="168" spans="1:7" x14ac:dyDescent="0.25">
      <c r="A168">
        <v>176</v>
      </c>
      <c r="B168">
        <v>152</v>
      </c>
      <c r="C168" s="18" t="s">
        <v>68</v>
      </c>
      <c r="F168">
        <v>145</v>
      </c>
      <c r="G168">
        <v>155</v>
      </c>
    </row>
    <row r="169" spans="1:7" x14ac:dyDescent="0.25">
      <c r="A169">
        <v>177</v>
      </c>
      <c r="B169">
        <v>153</v>
      </c>
      <c r="C169" s="18" t="s">
        <v>68</v>
      </c>
      <c r="F169">
        <v>146</v>
      </c>
      <c r="G169">
        <v>156</v>
      </c>
    </row>
    <row r="170" spans="1:7" x14ac:dyDescent="0.25">
      <c r="A170">
        <v>178</v>
      </c>
      <c r="B170">
        <v>154</v>
      </c>
      <c r="C170" s="18" t="s">
        <v>68</v>
      </c>
      <c r="F170">
        <v>147</v>
      </c>
      <c r="G170">
        <v>157</v>
      </c>
    </row>
    <row r="171" spans="1:7" x14ac:dyDescent="0.25">
      <c r="A171">
        <v>179</v>
      </c>
      <c r="B171">
        <v>155</v>
      </c>
      <c r="C171" s="18" t="s">
        <v>68</v>
      </c>
      <c r="F171">
        <v>148</v>
      </c>
      <c r="G171">
        <v>158</v>
      </c>
    </row>
    <row r="172" spans="1:7" x14ac:dyDescent="0.25">
      <c r="A172">
        <v>180</v>
      </c>
      <c r="B172">
        <v>156</v>
      </c>
      <c r="C172" s="18" t="s">
        <v>68</v>
      </c>
      <c r="F172">
        <v>149</v>
      </c>
      <c r="G172">
        <v>159</v>
      </c>
    </row>
    <row r="173" spans="1:7" x14ac:dyDescent="0.25">
      <c r="A173">
        <v>181</v>
      </c>
      <c r="B173">
        <v>157</v>
      </c>
      <c r="C173" s="18" t="s">
        <v>68</v>
      </c>
      <c r="F173">
        <v>150</v>
      </c>
      <c r="G173">
        <v>160</v>
      </c>
    </row>
    <row r="174" spans="1:7" x14ac:dyDescent="0.25">
      <c r="A174">
        <v>182</v>
      </c>
      <c r="B174">
        <v>158</v>
      </c>
      <c r="C174" s="18" t="s">
        <v>68</v>
      </c>
      <c r="F174">
        <v>151</v>
      </c>
      <c r="G174">
        <v>161</v>
      </c>
    </row>
    <row r="175" spans="1:7" x14ac:dyDescent="0.25">
      <c r="A175">
        <v>183</v>
      </c>
      <c r="B175">
        <v>159</v>
      </c>
      <c r="C175" s="18" t="s">
        <v>68</v>
      </c>
      <c r="F175">
        <v>152</v>
      </c>
      <c r="G175">
        <v>162</v>
      </c>
    </row>
    <row r="176" spans="1:7" x14ac:dyDescent="0.25">
      <c r="A176">
        <v>184</v>
      </c>
      <c r="B176">
        <v>160</v>
      </c>
      <c r="C176" s="18" t="s">
        <v>68</v>
      </c>
      <c r="F176">
        <v>153</v>
      </c>
      <c r="G176">
        <v>163</v>
      </c>
    </row>
    <row r="177" spans="1:7" x14ac:dyDescent="0.25">
      <c r="A177">
        <v>185</v>
      </c>
      <c r="B177">
        <v>160</v>
      </c>
      <c r="C177" s="18" t="s">
        <v>68</v>
      </c>
      <c r="F177">
        <v>153</v>
      </c>
      <c r="G177">
        <v>163</v>
      </c>
    </row>
    <row r="178" spans="1:7" x14ac:dyDescent="0.25">
      <c r="A178">
        <v>186</v>
      </c>
      <c r="B178">
        <v>160</v>
      </c>
      <c r="C178" s="18" t="s">
        <v>68</v>
      </c>
      <c r="F178">
        <v>153</v>
      </c>
      <c r="G178">
        <v>163</v>
      </c>
    </row>
    <row r="179" spans="1:7" x14ac:dyDescent="0.25">
      <c r="A179">
        <v>187</v>
      </c>
      <c r="B179">
        <v>160</v>
      </c>
      <c r="C179" s="18" t="s">
        <v>68</v>
      </c>
      <c r="F179">
        <v>153</v>
      </c>
      <c r="G179">
        <v>163</v>
      </c>
    </row>
    <row r="180" spans="1:7" x14ac:dyDescent="0.25">
      <c r="A180">
        <v>188</v>
      </c>
      <c r="B180">
        <v>160</v>
      </c>
      <c r="C180" s="18" t="s">
        <v>68</v>
      </c>
      <c r="F180">
        <v>153</v>
      </c>
      <c r="G180">
        <v>163</v>
      </c>
    </row>
    <row r="181" spans="1:7" x14ac:dyDescent="0.25">
      <c r="A181">
        <v>189</v>
      </c>
      <c r="B181">
        <v>160</v>
      </c>
      <c r="C181" s="18" t="s">
        <v>68</v>
      </c>
      <c r="F181">
        <v>153</v>
      </c>
      <c r="G181">
        <v>163</v>
      </c>
    </row>
    <row r="182" spans="1:7" x14ac:dyDescent="0.25">
      <c r="A182">
        <v>190</v>
      </c>
      <c r="B182">
        <v>160</v>
      </c>
      <c r="C182" s="18" t="s">
        <v>68</v>
      </c>
      <c r="F182">
        <v>153</v>
      </c>
      <c r="G182">
        <v>163</v>
      </c>
    </row>
    <row r="183" spans="1:7" x14ac:dyDescent="0.25">
      <c r="A183">
        <v>191</v>
      </c>
      <c r="B183">
        <v>160</v>
      </c>
      <c r="C183" s="18" t="s">
        <v>68</v>
      </c>
      <c r="F183">
        <v>153</v>
      </c>
      <c r="G183">
        <v>163</v>
      </c>
    </row>
    <row r="184" spans="1:7" x14ac:dyDescent="0.25">
      <c r="A184">
        <v>192</v>
      </c>
      <c r="B184">
        <v>160</v>
      </c>
      <c r="C184" s="18" t="s">
        <v>68</v>
      </c>
      <c r="F184">
        <v>153</v>
      </c>
      <c r="G184">
        <v>163</v>
      </c>
    </row>
    <row r="185" spans="1:7" x14ac:dyDescent="0.25">
      <c r="A185">
        <v>193</v>
      </c>
      <c r="B185">
        <v>160</v>
      </c>
      <c r="C185" s="18" t="s">
        <v>68</v>
      </c>
      <c r="F185">
        <v>153</v>
      </c>
      <c r="G185">
        <v>163</v>
      </c>
    </row>
    <row r="186" spans="1:7" x14ac:dyDescent="0.25">
      <c r="A186">
        <v>194</v>
      </c>
      <c r="B186">
        <v>160</v>
      </c>
      <c r="C186" s="18" t="s">
        <v>68</v>
      </c>
      <c r="F186">
        <v>153</v>
      </c>
      <c r="G186">
        <v>163</v>
      </c>
    </row>
    <row r="187" spans="1:7" x14ac:dyDescent="0.25">
      <c r="A187">
        <v>195</v>
      </c>
      <c r="B187">
        <v>160</v>
      </c>
      <c r="C187" s="18" t="s">
        <v>68</v>
      </c>
      <c r="F187">
        <v>153</v>
      </c>
      <c r="G187">
        <v>163</v>
      </c>
    </row>
    <row r="188" spans="1:7" x14ac:dyDescent="0.25">
      <c r="A188">
        <v>196</v>
      </c>
      <c r="B188">
        <v>160</v>
      </c>
      <c r="C188" s="18" t="s">
        <v>68</v>
      </c>
      <c r="F188">
        <v>153</v>
      </c>
      <c r="G188">
        <v>163</v>
      </c>
    </row>
    <row r="189" spans="1:7" x14ac:dyDescent="0.25">
      <c r="A189">
        <v>197</v>
      </c>
      <c r="B189">
        <v>160</v>
      </c>
      <c r="C189" s="18" t="s">
        <v>68</v>
      </c>
      <c r="F189">
        <v>153</v>
      </c>
      <c r="G189">
        <v>163</v>
      </c>
    </row>
    <row r="190" spans="1:7" x14ac:dyDescent="0.25">
      <c r="A190">
        <v>198</v>
      </c>
      <c r="B190">
        <v>160</v>
      </c>
      <c r="C190" s="18" t="s">
        <v>68</v>
      </c>
      <c r="F190">
        <v>153</v>
      </c>
      <c r="G190">
        <v>163</v>
      </c>
    </row>
    <row r="191" spans="1:7" x14ac:dyDescent="0.25">
      <c r="A191">
        <v>199</v>
      </c>
      <c r="B191">
        <v>160</v>
      </c>
      <c r="C191" s="18" t="s">
        <v>68</v>
      </c>
      <c r="F191">
        <v>153</v>
      </c>
      <c r="G191">
        <v>163</v>
      </c>
    </row>
    <row r="192" spans="1:7" x14ac:dyDescent="0.25">
      <c r="A192">
        <v>200</v>
      </c>
      <c r="B192">
        <v>160</v>
      </c>
      <c r="C192" s="18" t="s">
        <v>68</v>
      </c>
      <c r="F192">
        <v>153</v>
      </c>
      <c r="G192">
        <v>163</v>
      </c>
    </row>
    <row r="193" spans="1:7" x14ac:dyDescent="0.25">
      <c r="A193">
        <v>201</v>
      </c>
      <c r="B193">
        <v>160</v>
      </c>
      <c r="C193" s="18" t="s">
        <v>68</v>
      </c>
      <c r="F193">
        <v>153</v>
      </c>
      <c r="G193">
        <v>163</v>
      </c>
    </row>
    <row r="194" spans="1:7" x14ac:dyDescent="0.25">
      <c r="A194">
        <v>202</v>
      </c>
      <c r="B194">
        <v>160</v>
      </c>
      <c r="C194" s="18" t="s">
        <v>68</v>
      </c>
      <c r="F194">
        <v>153</v>
      </c>
      <c r="G194">
        <v>163</v>
      </c>
    </row>
    <row r="195" spans="1:7" x14ac:dyDescent="0.25">
      <c r="A195">
        <v>203</v>
      </c>
      <c r="B195">
        <v>160</v>
      </c>
      <c r="C195" s="18" t="s">
        <v>68</v>
      </c>
      <c r="F195">
        <v>153</v>
      </c>
      <c r="G195">
        <v>163</v>
      </c>
    </row>
    <row r="196" spans="1:7" x14ac:dyDescent="0.25">
      <c r="A196">
        <v>204</v>
      </c>
      <c r="B196">
        <v>160</v>
      </c>
      <c r="C196" s="18" t="s">
        <v>68</v>
      </c>
      <c r="F196">
        <v>153</v>
      </c>
      <c r="G196">
        <v>163</v>
      </c>
    </row>
    <row r="197" spans="1:7" x14ac:dyDescent="0.25">
      <c r="A197">
        <v>205</v>
      </c>
      <c r="B197">
        <v>160</v>
      </c>
      <c r="C197" s="18" t="s">
        <v>68</v>
      </c>
      <c r="F197">
        <v>153</v>
      </c>
      <c r="G197">
        <v>163</v>
      </c>
    </row>
    <row r="198" spans="1:7" x14ac:dyDescent="0.25">
      <c r="A198">
        <v>206</v>
      </c>
      <c r="B198">
        <v>160</v>
      </c>
      <c r="C198" s="18" t="s">
        <v>68</v>
      </c>
      <c r="F198">
        <v>153</v>
      </c>
      <c r="G198">
        <v>163</v>
      </c>
    </row>
    <row r="199" spans="1:7" x14ac:dyDescent="0.25">
      <c r="A199">
        <v>207</v>
      </c>
      <c r="B199">
        <v>160</v>
      </c>
      <c r="C199" s="18" t="s">
        <v>68</v>
      </c>
      <c r="F199">
        <v>153</v>
      </c>
      <c r="G199">
        <v>163</v>
      </c>
    </row>
    <row r="200" spans="1:7" x14ac:dyDescent="0.25">
      <c r="A200">
        <v>208</v>
      </c>
      <c r="B200">
        <v>160</v>
      </c>
      <c r="C200" s="18" t="s">
        <v>68</v>
      </c>
      <c r="F200">
        <v>153</v>
      </c>
      <c r="G200">
        <v>163</v>
      </c>
    </row>
    <row r="201" spans="1:7" x14ac:dyDescent="0.25">
      <c r="A201">
        <v>209</v>
      </c>
      <c r="B201">
        <v>160</v>
      </c>
      <c r="C201" s="18" t="s">
        <v>68</v>
      </c>
      <c r="F201">
        <v>153</v>
      </c>
      <c r="G201">
        <v>163</v>
      </c>
    </row>
  </sheetData>
  <mergeCells count="2">
    <mergeCell ref="D1:E1"/>
    <mergeCell ref="F1:G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2AD6-1B13-4E86-BB65-F6DB7F3203AF}">
  <dimension ref="A1:G57"/>
  <sheetViews>
    <sheetView workbookViewId="0">
      <selection activeCell="C54" sqref="C54:C57"/>
    </sheetView>
  </sheetViews>
  <sheetFormatPr defaultColWidth="8.7109375" defaultRowHeight="15" x14ac:dyDescent="0.25"/>
  <sheetData>
    <row r="1" spans="1:7" x14ac:dyDescent="0.25">
      <c r="A1" t="s">
        <v>65</v>
      </c>
      <c r="D1" s="30">
        <v>0.9</v>
      </c>
      <c r="E1" s="30"/>
      <c r="F1" s="30">
        <v>0.95</v>
      </c>
      <c r="G1" s="30"/>
    </row>
    <row r="2" spans="1:7" x14ac:dyDescent="0.25">
      <c r="A2" t="s">
        <v>18</v>
      </c>
      <c r="B2" t="s">
        <v>48</v>
      </c>
      <c r="C2" t="s">
        <v>21</v>
      </c>
      <c r="D2" t="s">
        <v>6</v>
      </c>
      <c r="E2" t="s">
        <v>7</v>
      </c>
      <c r="F2" t="s">
        <v>6</v>
      </c>
      <c r="G2" t="s">
        <v>7</v>
      </c>
    </row>
    <row r="3" spans="1:7" x14ac:dyDescent="0.25">
      <c r="A3">
        <v>3</v>
      </c>
      <c r="B3">
        <v>45</v>
      </c>
      <c r="C3" s="18" t="s">
        <v>67</v>
      </c>
      <c r="F3">
        <v>42</v>
      </c>
      <c r="G3">
        <v>55</v>
      </c>
    </row>
    <row r="4" spans="1:7" x14ac:dyDescent="0.25">
      <c r="A4">
        <v>4</v>
      </c>
      <c r="B4">
        <v>50</v>
      </c>
      <c r="C4" s="18" t="s">
        <v>67</v>
      </c>
      <c r="F4">
        <v>46</v>
      </c>
      <c r="G4">
        <v>60</v>
      </c>
    </row>
    <row r="5" spans="1:7" x14ac:dyDescent="0.25">
      <c r="A5">
        <v>5</v>
      </c>
      <c r="B5">
        <v>55</v>
      </c>
      <c r="C5">
        <v>0.1</v>
      </c>
      <c r="F5">
        <v>51</v>
      </c>
      <c r="G5">
        <v>65</v>
      </c>
    </row>
    <row r="6" spans="1:7" x14ac:dyDescent="0.25">
      <c r="A6">
        <v>6</v>
      </c>
      <c r="B6">
        <v>60</v>
      </c>
      <c r="C6">
        <v>0.4</v>
      </c>
      <c r="F6">
        <v>56</v>
      </c>
      <c r="G6">
        <v>70</v>
      </c>
    </row>
    <row r="7" spans="1:7" x14ac:dyDescent="0.25">
      <c r="A7">
        <v>7</v>
      </c>
      <c r="B7">
        <v>62</v>
      </c>
      <c r="C7">
        <v>1</v>
      </c>
      <c r="F7">
        <v>58</v>
      </c>
      <c r="G7">
        <v>72</v>
      </c>
    </row>
    <row r="8" spans="1:7" x14ac:dyDescent="0.25">
      <c r="A8">
        <v>8</v>
      </c>
      <c r="B8">
        <v>63</v>
      </c>
      <c r="C8">
        <v>1</v>
      </c>
      <c r="F8">
        <v>59</v>
      </c>
      <c r="G8">
        <v>73</v>
      </c>
    </row>
    <row r="9" spans="1:7" x14ac:dyDescent="0.25">
      <c r="A9">
        <v>9</v>
      </c>
      <c r="B9">
        <v>64</v>
      </c>
      <c r="C9">
        <v>1</v>
      </c>
      <c r="F9">
        <v>59</v>
      </c>
      <c r="G9">
        <v>73</v>
      </c>
    </row>
    <row r="10" spans="1:7" x14ac:dyDescent="0.25">
      <c r="A10">
        <v>10</v>
      </c>
      <c r="B10">
        <v>65</v>
      </c>
      <c r="C10">
        <v>1</v>
      </c>
      <c r="F10">
        <v>60</v>
      </c>
      <c r="G10">
        <v>74</v>
      </c>
    </row>
    <row r="11" spans="1:7" x14ac:dyDescent="0.25">
      <c r="A11">
        <v>11</v>
      </c>
      <c r="B11">
        <v>67</v>
      </c>
      <c r="C11">
        <v>1</v>
      </c>
      <c r="F11">
        <v>62</v>
      </c>
      <c r="G11">
        <v>76</v>
      </c>
    </row>
    <row r="12" spans="1:7" x14ac:dyDescent="0.25">
      <c r="A12">
        <v>12</v>
      </c>
      <c r="B12">
        <v>68</v>
      </c>
      <c r="C12">
        <v>2</v>
      </c>
      <c r="F12">
        <v>63</v>
      </c>
      <c r="G12">
        <v>77</v>
      </c>
    </row>
    <row r="13" spans="1:7" x14ac:dyDescent="0.25">
      <c r="A13">
        <v>13</v>
      </c>
      <c r="B13">
        <v>69</v>
      </c>
      <c r="C13">
        <v>2</v>
      </c>
      <c r="F13">
        <v>64</v>
      </c>
      <c r="G13">
        <v>78</v>
      </c>
    </row>
    <row r="14" spans="1:7" x14ac:dyDescent="0.25">
      <c r="A14">
        <v>14</v>
      </c>
      <c r="B14">
        <v>70</v>
      </c>
      <c r="C14">
        <v>2</v>
      </c>
      <c r="F14">
        <v>65</v>
      </c>
      <c r="G14">
        <v>79</v>
      </c>
    </row>
    <row r="15" spans="1:7" x14ac:dyDescent="0.25">
      <c r="A15">
        <v>15</v>
      </c>
      <c r="B15">
        <v>72</v>
      </c>
      <c r="C15">
        <v>3</v>
      </c>
      <c r="F15">
        <v>67</v>
      </c>
      <c r="G15">
        <v>81</v>
      </c>
    </row>
    <row r="16" spans="1:7" x14ac:dyDescent="0.25">
      <c r="A16">
        <v>16</v>
      </c>
      <c r="B16">
        <v>74</v>
      </c>
      <c r="C16">
        <v>4</v>
      </c>
      <c r="F16">
        <v>69</v>
      </c>
      <c r="G16">
        <v>83</v>
      </c>
    </row>
    <row r="17" spans="1:7" x14ac:dyDescent="0.25">
      <c r="A17">
        <v>17</v>
      </c>
      <c r="B17">
        <v>76</v>
      </c>
      <c r="C17">
        <v>5</v>
      </c>
      <c r="F17">
        <v>70</v>
      </c>
      <c r="G17">
        <v>84</v>
      </c>
    </row>
    <row r="18" spans="1:7" x14ac:dyDescent="0.25">
      <c r="A18">
        <v>18</v>
      </c>
      <c r="B18">
        <v>77</v>
      </c>
      <c r="C18">
        <v>6</v>
      </c>
      <c r="F18">
        <v>72</v>
      </c>
      <c r="G18">
        <v>86</v>
      </c>
    </row>
    <row r="19" spans="1:7" x14ac:dyDescent="0.25">
      <c r="A19">
        <v>19</v>
      </c>
      <c r="B19">
        <v>79</v>
      </c>
      <c r="C19">
        <v>8</v>
      </c>
      <c r="F19">
        <v>73</v>
      </c>
      <c r="G19">
        <v>87</v>
      </c>
    </row>
    <row r="20" spans="1:7" x14ac:dyDescent="0.25">
      <c r="A20">
        <v>20</v>
      </c>
      <c r="B20">
        <v>80</v>
      </c>
      <c r="C20">
        <v>9</v>
      </c>
      <c r="F20">
        <v>75</v>
      </c>
      <c r="G20">
        <v>89</v>
      </c>
    </row>
    <row r="21" spans="1:7" x14ac:dyDescent="0.25">
      <c r="A21">
        <v>21</v>
      </c>
      <c r="B21">
        <v>82</v>
      </c>
      <c r="C21">
        <v>11</v>
      </c>
      <c r="F21">
        <v>76</v>
      </c>
      <c r="G21">
        <v>90</v>
      </c>
    </row>
    <row r="22" spans="1:7" x14ac:dyDescent="0.25">
      <c r="A22">
        <v>22</v>
      </c>
      <c r="B22">
        <v>84</v>
      </c>
      <c r="C22">
        <v>14</v>
      </c>
      <c r="F22">
        <v>78</v>
      </c>
      <c r="G22">
        <v>92</v>
      </c>
    </row>
    <row r="23" spans="1:7" x14ac:dyDescent="0.25">
      <c r="A23">
        <v>23</v>
      </c>
      <c r="B23">
        <v>86</v>
      </c>
      <c r="C23">
        <v>18</v>
      </c>
      <c r="F23">
        <v>79</v>
      </c>
      <c r="G23">
        <v>93</v>
      </c>
    </row>
    <row r="24" spans="1:7" x14ac:dyDescent="0.25">
      <c r="A24">
        <v>24</v>
      </c>
      <c r="B24">
        <v>88</v>
      </c>
      <c r="C24">
        <v>21</v>
      </c>
      <c r="F24">
        <v>81</v>
      </c>
      <c r="G24">
        <v>95</v>
      </c>
    </row>
    <row r="25" spans="1:7" x14ac:dyDescent="0.25">
      <c r="A25">
        <v>25</v>
      </c>
      <c r="B25">
        <v>90</v>
      </c>
      <c r="C25">
        <v>25</v>
      </c>
      <c r="F25">
        <v>83</v>
      </c>
      <c r="G25">
        <v>97</v>
      </c>
    </row>
    <row r="26" spans="1:7" x14ac:dyDescent="0.25">
      <c r="A26">
        <v>26</v>
      </c>
      <c r="B26">
        <v>92</v>
      </c>
      <c r="C26">
        <v>30</v>
      </c>
      <c r="F26">
        <v>85</v>
      </c>
      <c r="G26">
        <v>99</v>
      </c>
    </row>
    <row r="27" spans="1:7" x14ac:dyDescent="0.25">
      <c r="A27">
        <v>27</v>
      </c>
      <c r="B27">
        <v>94</v>
      </c>
      <c r="C27">
        <v>34</v>
      </c>
      <c r="F27">
        <v>87</v>
      </c>
      <c r="G27">
        <v>101</v>
      </c>
    </row>
    <row r="28" spans="1:7" x14ac:dyDescent="0.25">
      <c r="A28">
        <v>28</v>
      </c>
      <c r="B28">
        <v>96</v>
      </c>
      <c r="C28">
        <v>39</v>
      </c>
      <c r="F28">
        <v>89</v>
      </c>
      <c r="G28">
        <v>103</v>
      </c>
    </row>
    <row r="29" spans="1:7" x14ac:dyDescent="0.25">
      <c r="A29">
        <v>29</v>
      </c>
      <c r="B29">
        <v>97</v>
      </c>
      <c r="C29">
        <v>42</v>
      </c>
      <c r="F29">
        <v>91</v>
      </c>
      <c r="G29">
        <v>105</v>
      </c>
    </row>
    <row r="30" spans="1:7" x14ac:dyDescent="0.25">
      <c r="A30">
        <v>30</v>
      </c>
      <c r="B30">
        <v>99</v>
      </c>
      <c r="C30">
        <v>47</v>
      </c>
      <c r="F30">
        <v>93</v>
      </c>
      <c r="G30">
        <v>106</v>
      </c>
    </row>
    <row r="31" spans="1:7" x14ac:dyDescent="0.25">
      <c r="A31">
        <v>31</v>
      </c>
      <c r="B31">
        <v>102</v>
      </c>
      <c r="C31">
        <v>55</v>
      </c>
      <c r="F31">
        <v>95</v>
      </c>
      <c r="G31">
        <v>108</v>
      </c>
    </row>
    <row r="32" spans="1:7" x14ac:dyDescent="0.25">
      <c r="A32">
        <v>32</v>
      </c>
      <c r="B32">
        <v>104</v>
      </c>
      <c r="C32">
        <v>61</v>
      </c>
      <c r="F32">
        <v>97</v>
      </c>
      <c r="G32">
        <v>111</v>
      </c>
    </row>
    <row r="33" spans="1:7" x14ac:dyDescent="0.25">
      <c r="A33">
        <v>33</v>
      </c>
      <c r="B33">
        <v>106</v>
      </c>
      <c r="C33">
        <v>66</v>
      </c>
      <c r="F33">
        <v>99</v>
      </c>
      <c r="G33">
        <v>112</v>
      </c>
    </row>
    <row r="34" spans="1:7" x14ac:dyDescent="0.25">
      <c r="A34">
        <v>34</v>
      </c>
      <c r="B34">
        <v>108</v>
      </c>
      <c r="C34">
        <v>69</v>
      </c>
      <c r="F34">
        <v>100</v>
      </c>
      <c r="G34">
        <v>114</v>
      </c>
    </row>
    <row r="35" spans="1:7" x14ac:dyDescent="0.25">
      <c r="A35">
        <v>35</v>
      </c>
      <c r="B35">
        <v>109</v>
      </c>
      <c r="C35">
        <v>73</v>
      </c>
      <c r="F35">
        <v>102</v>
      </c>
      <c r="G35">
        <v>116</v>
      </c>
    </row>
    <row r="36" spans="1:7" x14ac:dyDescent="0.25">
      <c r="A36">
        <v>36</v>
      </c>
      <c r="B36">
        <v>111</v>
      </c>
      <c r="C36">
        <v>77</v>
      </c>
      <c r="F36">
        <v>104</v>
      </c>
      <c r="G36">
        <v>118</v>
      </c>
    </row>
    <row r="37" spans="1:7" x14ac:dyDescent="0.25">
      <c r="A37">
        <v>37</v>
      </c>
      <c r="B37">
        <v>114</v>
      </c>
      <c r="C37">
        <v>82</v>
      </c>
      <c r="F37">
        <v>106</v>
      </c>
      <c r="G37">
        <v>120</v>
      </c>
    </row>
    <row r="38" spans="1:7" x14ac:dyDescent="0.25">
      <c r="A38">
        <v>38</v>
      </c>
      <c r="B38">
        <v>115</v>
      </c>
      <c r="C38">
        <v>85</v>
      </c>
      <c r="F38">
        <v>107</v>
      </c>
      <c r="G38">
        <v>121</v>
      </c>
    </row>
    <row r="39" spans="1:7" x14ac:dyDescent="0.25">
      <c r="A39">
        <v>39</v>
      </c>
      <c r="B39">
        <v>117</v>
      </c>
      <c r="C39">
        <v>87</v>
      </c>
      <c r="F39">
        <v>109</v>
      </c>
      <c r="G39">
        <v>123</v>
      </c>
    </row>
    <row r="40" spans="1:7" x14ac:dyDescent="0.25">
      <c r="A40">
        <v>40</v>
      </c>
      <c r="B40">
        <v>119</v>
      </c>
      <c r="C40">
        <v>90</v>
      </c>
      <c r="F40">
        <v>111</v>
      </c>
      <c r="G40">
        <v>125</v>
      </c>
    </row>
    <row r="41" spans="1:7" x14ac:dyDescent="0.25">
      <c r="A41">
        <v>41</v>
      </c>
      <c r="B41">
        <v>121</v>
      </c>
      <c r="C41">
        <v>92</v>
      </c>
      <c r="F41">
        <v>113</v>
      </c>
      <c r="G41">
        <v>127</v>
      </c>
    </row>
    <row r="42" spans="1:7" x14ac:dyDescent="0.25">
      <c r="A42">
        <v>42</v>
      </c>
      <c r="B42">
        <v>123</v>
      </c>
      <c r="C42">
        <v>94</v>
      </c>
      <c r="F42">
        <v>115</v>
      </c>
      <c r="G42">
        <v>129</v>
      </c>
    </row>
    <row r="43" spans="1:7" x14ac:dyDescent="0.25">
      <c r="A43">
        <v>43</v>
      </c>
      <c r="B43">
        <v>126</v>
      </c>
      <c r="C43">
        <v>96</v>
      </c>
      <c r="F43">
        <v>117</v>
      </c>
      <c r="G43">
        <v>131</v>
      </c>
    </row>
    <row r="44" spans="1:7" x14ac:dyDescent="0.25">
      <c r="A44">
        <v>44</v>
      </c>
      <c r="B44">
        <v>129</v>
      </c>
      <c r="C44">
        <v>97</v>
      </c>
      <c r="F44">
        <v>120</v>
      </c>
      <c r="G44">
        <v>134</v>
      </c>
    </row>
    <row r="45" spans="1:7" x14ac:dyDescent="0.25">
      <c r="A45">
        <v>45</v>
      </c>
      <c r="B45">
        <v>131</v>
      </c>
      <c r="C45">
        <v>98</v>
      </c>
      <c r="F45">
        <v>122</v>
      </c>
      <c r="G45">
        <v>136</v>
      </c>
    </row>
    <row r="46" spans="1:7" x14ac:dyDescent="0.25">
      <c r="A46">
        <v>46</v>
      </c>
      <c r="B46">
        <v>134</v>
      </c>
      <c r="C46">
        <v>99</v>
      </c>
      <c r="F46">
        <v>125</v>
      </c>
      <c r="G46">
        <v>138</v>
      </c>
    </row>
    <row r="47" spans="1:7" x14ac:dyDescent="0.25">
      <c r="A47">
        <v>47</v>
      </c>
      <c r="B47">
        <v>138</v>
      </c>
      <c r="C47">
        <v>99</v>
      </c>
      <c r="F47">
        <v>128</v>
      </c>
      <c r="G47">
        <v>142</v>
      </c>
    </row>
    <row r="48" spans="1:7" x14ac:dyDescent="0.25">
      <c r="A48">
        <v>48</v>
      </c>
      <c r="B48">
        <v>142</v>
      </c>
      <c r="C48">
        <v>99.7</v>
      </c>
      <c r="F48">
        <v>132</v>
      </c>
      <c r="G48">
        <v>146</v>
      </c>
    </row>
    <row r="49" spans="1:7" x14ac:dyDescent="0.25">
      <c r="A49">
        <v>49</v>
      </c>
      <c r="B49">
        <v>143</v>
      </c>
      <c r="C49">
        <v>99.8</v>
      </c>
      <c r="F49">
        <v>133</v>
      </c>
      <c r="G49">
        <v>147</v>
      </c>
    </row>
    <row r="50" spans="1:7" x14ac:dyDescent="0.25">
      <c r="A50">
        <v>50</v>
      </c>
      <c r="B50">
        <v>144</v>
      </c>
      <c r="C50">
        <v>99.8</v>
      </c>
      <c r="F50">
        <v>134</v>
      </c>
      <c r="G50">
        <v>148</v>
      </c>
    </row>
    <row r="51" spans="1:7" x14ac:dyDescent="0.25">
      <c r="A51">
        <v>51</v>
      </c>
      <c r="B51">
        <v>145</v>
      </c>
      <c r="C51">
        <v>99.9</v>
      </c>
      <c r="F51">
        <v>135</v>
      </c>
      <c r="G51">
        <v>149</v>
      </c>
    </row>
    <row r="52" spans="1:7" x14ac:dyDescent="0.25">
      <c r="A52">
        <v>52</v>
      </c>
      <c r="B52">
        <v>146</v>
      </c>
      <c r="C52">
        <v>99.9</v>
      </c>
      <c r="F52">
        <v>136</v>
      </c>
      <c r="G52">
        <v>150</v>
      </c>
    </row>
    <row r="53" spans="1:7" x14ac:dyDescent="0.25">
      <c r="A53">
        <v>53</v>
      </c>
      <c r="B53">
        <v>148</v>
      </c>
      <c r="C53">
        <v>99.9</v>
      </c>
      <c r="F53">
        <v>138</v>
      </c>
      <c r="G53">
        <v>152</v>
      </c>
    </row>
    <row r="54" spans="1:7" x14ac:dyDescent="0.25">
      <c r="A54">
        <v>54</v>
      </c>
      <c r="B54">
        <v>150</v>
      </c>
      <c r="C54" s="18" t="s">
        <v>68</v>
      </c>
      <c r="F54">
        <v>140</v>
      </c>
      <c r="G54">
        <v>154</v>
      </c>
    </row>
    <row r="55" spans="1:7" x14ac:dyDescent="0.25">
      <c r="A55">
        <v>55</v>
      </c>
      <c r="B55">
        <v>152</v>
      </c>
      <c r="C55" s="18" t="s">
        <v>68</v>
      </c>
      <c r="F55">
        <v>142</v>
      </c>
      <c r="G55">
        <v>156</v>
      </c>
    </row>
    <row r="56" spans="1:7" x14ac:dyDescent="0.25">
      <c r="A56">
        <v>56</v>
      </c>
      <c r="B56">
        <v>155</v>
      </c>
      <c r="C56" s="18" t="s">
        <v>68</v>
      </c>
      <c r="F56">
        <v>145</v>
      </c>
      <c r="G56">
        <v>158</v>
      </c>
    </row>
    <row r="57" spans="1:7" x14ac:dyDescent="0.25">
      <c r="A57">
        <v>57</v>
      </c>
      <c r="B57">
        <v>155</v>
      </c>
      <c r="C57" s="18" t="s">
        <v>68</v>
      </c>
      <c r="F57">
        <v>145</v>
      </c>
      <c r="G57">
        <v>158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192B-CDBC-406E-AD49-A0983A76FF0E}">
  <dimension ref="A1:G57"/>
  <sheetViews>
    <sheetView topLeftCell="A40" workbookViewId="0">
      <selection activeCell="E53" sqref="E53"/>
    </sheetView>
  </sheetViews>
  <sheetFormatPr defaultColWidth="8.7109375" defaultRowHeight="15" x14ac:dyDescent="0.25"/>
  <sheetData>
    <row r="1" spans="1:7" x14ac:dyDescent="0.25">
      <c r="A1" t="s">
        <v>66</v>
      </c>
      <c r="D1" s="30">
        <v>0.9</v>
      </c>
      <c r="E1" s="30"/>
      <c r="F1" s="30">
        <v>0.95</v>
      </c>
      <c r="G1" s="30"/>
    </row>
    <row r="2" spans="1:7" x14ac:dyDescent="0.25">
      <c r="A2" t="s">
        <v>18</v>
      </c>
      <c r="B2" t="s">
        <v>49</v>
      </c>
      <c r="C2" t="s">
        <v>21</v>
      </c>
      <c r="D2" t="s">
        <v>6</v>
      </c>
      <c r="E2" t="s">
        <v>7</v>
      </c>
      <c r="F2" t="s">
        <v>6</v>
      </c>
      <c r="G2" t="s">
        <v>7</v>
      </c>
    </row>
    <row r="3" spans="1:7" x14ac:dyDescent="0.25">
      <c r="A3">
        <v>3</v>
      </c>
      <c r="B3">
        <v>45</v>
      </c>
      <c r="C3" s="18" t="s">
        <v>67</v>
      </c>
      <c r="F3">
        <v>42</v>
      </c>
      <c r="G3">
        <v>59</v>
      </c>
    </row>
    <row r="4" spans="1:7" x14ac:dyDescent="0.25">
      <c r="A4">
        <v>4</v>
      </c>
      <c r="B4">
        <v>50</v>
      </c>
      <c r="C4" s="18" t="s">
        <v>67</v>
      </c>
      <c r="F4">
        <v>47</v>
      </c>
      <c r="G4">
        <v>63</v>
      </c>
    </row>
    <row r="5" spans="1:7" x14ac:dyDescent="0.25">
      <c r="A5">
        <v>5</v>
      </c>
      <c r="B5">
        <v>55</v>
      </c>
      <c r="C5">
        <v>0.1</v>
      </c>
      <c r="F5">
        <v>51</v>
      </c>
      <c r="G5">
        <v>68</v>
      </c>
    </row>
    <row r="6" spans="1:7" x14ac:dyDescent="0.25">
      <c r="A6">
        <v>6</v>
      </c>
      <c r="B6">
        <v>56</v>
      </c>
      <c r="C6">
        <v>0.2</v>
      </c>
      <c r="F6">
        <v>52</v>
      </c>
      <c r="G6">
        <v>69</v>
      </c>
    </row>
    <row r="7" spans="1:7" x14ac:dyDescent="0.25">
      <c r="A7">
        <v>7</v>
      </c>
      <c r="B7">
        <v>58</v>
      </c>
      <c r="C7">
        <v>0.3</v>
      </c>
      <c r="F7">
        <v>54</v>
      </c>
      <c r="G7">
        <v>71</v>
      </c>
    </row>
    <row r="8" spans="1:7" x14ac:dyDescent="0.25">
      <c r="A8">
        <v>8</v>
      </c>
      <c r="B8">
        <v>60</v>
      </c>
      <c r="C8">
        <v>0.4</v>
      </c>
      <c r="F8">
        <v>56</v>
      </c>
      <c r="G8">
        <v>72</v>
      </c>
    </row>
    <row r="9" spans="1:7" x14ac:dyDescent="0.25">
      <c r="A9">
        <v>9</v>
      </c>
      <c r="B9">
        <v>63</v>
      </c>
      <c r="C9">
        <v>1</v>
      </c>
      <c r="F9">
        <v>58</v>
      </c>
      <c r="G9">
        <v>75</v>
      </c>
    </row>
    <row r="10" spans="1:7" x14ac:dyDescent="0.25">
      <c r="A10">
        <v>10</v>
      </c>
      <c r="B10">
        <v>65</v>
      </c>
      <c r="C10">
        <v>1</v>
      </c>
      <c r="F10">
        <v>60</v>
      </c>
      <c r="G10">
        <v>77</v>
      </c>
    </row>
    <row r="11" spans="1:7" x14ac:dyDescent="0.25">
      <c r="A11">
        <v>11</v>
      </c>
      <c r="B11">
        <v>65</v>
      </c>
      <c r="C11">
        <v>1</v>
      </c>
      <c r="F11">
        <v>60</v>
      </c>
      <c r="G11">
        <v>77</v>
      </c>
    </row>
    <row r="12" spans="1:7" x14ac:dyDescent="0.25">
      <c r="A12">
        <v>12</v>
      </c>
      <c r="B12">
        <v>66</v>
      </c>
      <c r="C12">
        <v>1</v>
      </c>
      <c r="F12">
        <v>61</v>
      </c>
      <c r="G12">
        <v>78</v>
      </c>
    </row>
    <row r="13" spans="1:7" x14ac:dyDescent="0.25">
      <c r="A13">
        <v>13</v>
      </c>
      <c r="B13">
        <v>67</v>
      </c>
      <c r="C13">
        <v>1</v>
      </c>
      <c r="F13">
        <v>62</v>
      </c>
      <c r="G13">
        <v>79</v>
      </c>
    </row>
    <row r="14" spans="1:7" x14ac:dyDescent="0.25">
      <c r="A14">
        <v>14</v>
      </c>
      <c r="B14">
        <v>69</v>
      </c>
      <c r="C14">
        <v>2</v>
      </c>
      <c r="F14">
        <v>64</v>
      </c>
      <c r="G14">
        <v>80</v>
      </c>
    </row>
    <row r="15" spans="1:7" x14ac:dyDescent="0.25">
      <c r="A15">
        <v>15</v>
      </c>
      <c r="B15">
        <v>70</v>
      </c>
      <c r="C15">
        <v>2</v>
      </c>
      <c r="F15">
        <v>65</v>
      </c>
      <c r="G15">
        <v>82</v>
      </c>
    </row>
    <row r="16" spans="1:7" x14ac:dyDescent="0.25">
      <c r="A16">
        <v>16</v>
      </c>
      <c r="B16">
        <v>73</v>
      </c>
      <c r="C16">
        <v>4</v>
      </c>
      <c r="F16">
        <v>67</v>
      </c>
      <c r="G16">
        <v>84</v>
      </c>
    </row>
    <row r="17" spans="1:7" x14ac:dyDescent="0.25">
      <c r="A17">
        <v>17</v>
      </c>
      <c r="B17">
        <v>76</v>
      </c>
      <c r="C17">
        <v>5</v>
      </c>
      <c r="F17">
        <v>70</v>
      </c>
      <c r="G17">
        <v>86</v>
      </c>
    </row>
    <row r="18" spans="1:7" x14ac:dyDescent="0.25">
      <c r="A18">
        <v>18</v>
      </c>
      <c r="B18">
        <v>77</v>
      </c>
      <c r="C18">
        <v>6</v>
      </c>
      <c r="F18">
        <v>71</v>
      </c>
      <c r="G18">
        <v>88</v>
      </c>
    </row>
    <row r="19" spans="1:7" x14ac:dyDescent="0.25">
      <c r="A19">
        <v>19</v>
      </c>
      <c r="B19">
        <v>78</v>
      </c>
      <c r="C19">
        <v>7</v>
      </c>
      <c r="F19">
        <v>72</v>
      </c>
      <c r="G19">
        <v>89</v>
      </c>
    </row>
    <row r="20" spans="1:7" x14ac:dyDescent="0.25">
      <c r="A20">
        <v>20</v>
      </c>
      <c r="B20">
        <v>79</v>
      </c>
      <c r="C20">
        <v>8</v>
      </c>
      <c r="F20">
        <v>73</v>
      </c>
      <c r="G20">
        <v>90</v>
      </c>
    </row>
    <row r="21" spans="1:7" x14ac:dyDescent="0.25">
      <c r="A21">
        <v>21</v>
      </c>
      <c r="B21">
        <v>80</v>
      </c>
      <c r="C21">
        <v>9</v>
      </c>
      <c r="F21">
        <v>74</v>
      </c>
      <c r="G21">
        <v>91</v>
      </c>
    </row>
    <row r="22" spans="1:7" x14ac:dyDescent="0.25">
      <c r="A22">
        <v>22</v>
      </c>
      <c r="B22">
        <v>82</v>
      </c>
      <c r="C22">
        <v>12</v>
      </c>
      <c r="F22">
        <v>75</v>
      </c>
      <c r="G22">
        <v>92</v>
      </c>
    </row>
    <row r="23" spans="1:7" x14ac:dyDescent="0.25">
      <c r="A23">
        <v>23</v>
      </c>
      <c r="B23">
        <v>84</v>
      </c>
      <c r="C23">
        <v>14</v>
      </c>
      <c r="F23">
        <v>77</v>
      </c>
      <c r="G23">
        <v>94</v>
      </c>
    </row>
    <row r="24" spans="1:7" x14ac:dyDescent="0.25">
      <c r="A24">
        <v>24</v>
      </c>
      <c r="B24">
        <v>86</v>
      </c>
      <c r="C24">
        <v>18</v>
      </c>
      <c r="F24">
        <v>79</v>
      </c>
      <c r="G24">
        <v>96</v>
      </c>
    </row>
    <row r="25" spans="1:7" x14ac:dyDescent="0.25">
      <c r="A25">
        <v>25</v>
      </c>
      <c r="B25">
        <v>88</v>
      </c>
      <c r="C25">
        <v>21</v>
      </c>
      <c r="F25">
        <v>81</v>
      </c>
      <c r="G25">
        <v>98</v>
      </c>
    </row>
    <row r="26" spans="1:7" x14ac:dyDescent="0.25">
      <c r="A26">
        <v>26</v>
      </c>
      <c r="B26">
        <v>91</v>
      </c>
      <c r="C26">
        <v>27</v>
      </c>
      <c r="F26">
        <v>83</v>
      </c>
      <c r="G26">
        <v>100</v>
      </c>
    </row>
    <row r="27" spans="1:7" x14ac:dyDescent="0.25">
      <c r="A27">
        <v>27</v>
      </c>
      <c r="B27">
        <v>93</v>
      </c>
      <c r="C27">
        <v>32</v>
      </c>
      <c r="F27">
        <v>85</v>
      </c>
      <c r="G27">
        <v>102</v>
      </c>
    </row>
    <row r="28" spans="1:7" x14ac:dyDescent="0.25">
      <c r="A28">
        <v>28</v>
      </c>
      <c r="B28">
        <v>95</v>
      </c>
      <c r="C28">
        <v>37</v>
      </c>
      <c r="F28">
        <v>87</v>
      </c>
      <c r="G28">
        <v>104</v>
      </c>
    </row>
    <row r="29" spans="1:7" x14ac:dyDescent="0.25">
      <c r="A29">
        <v>29</v>
      </c>
      <c r="B29">
        <v>97</v>
      </c>
      <c r="C29">
        <v>42</v>
      </c>
      <c r="F29">
        <v>89</v>
      </c>
      <c r="G29">
        <v>106</v>
      </c>
    </row>
    <row r="30" spans="1:7" x14ac:dyDescent="0.25">
      <c r="A30">
        <v>30</v>
      </c>
      <c r="B30">
        <v>100</v>
      </c>
      <c r="C30">
        <v>50</v>
      </c>
      <c r="F30">
        <v>91</v>
      </c>
      <c r="G30">
        <v>108</v>
      </c>
    </row>
    <row r="31" spans="1:7" x14ac:dyDescent="0.25">
      <c r="A31">
        <v>31</v>
      </c>
      <c r="B31">
        <v>102</v>
      </c>
      <c r="C31">
        <v>55</v>
      </c>
      <c r="F31">
        <v>94</v>
      </c>
      <c r="G31">
        <v>110</v>
      </c>
    </row>
    <row r="32" spans="1:7" x14ac:dyDescent="0.25">
      <c r="A32">
        <v>32</v>
      </c>
      <c r="B32">
        <v>104</v>
      </c>
      <c r="C32">
        <v>61</v>
      </c>
      <c r="F32">
        <v>96</v>
      </c>
      <c r="G32">
        <v>112</v>
      </c>
    </row>
    <row r="33" spans="1:7" x14ac:dyDescent="0.25">
      <c r="A33">
        <v>33</v>
      </c>
      <c r="B33">
        <v>106</v>
      </c>
      <c r="C33">
        <v>66</v>
      </c>
      <c r="F33">
        <v>97</v>
      </c>
      <c r="G33">
        <v>114</v>
      </c>
    </row>
    <row r="34" spans="1:7" x14ac:dyDescent="0.25">
      <c r="A34">
        <v>34</v>
      </c>
      <c r="B34">
        <v>108</v>
      </c>
      <c r="C34">
        <v>70</v>
      </c>
      <c r="F34">
        <v>99</v>
      </c>
      <c r="G34">
        <v>116</v>
      </c>
    </row>
    <row r="35" spans="1:7" x14ac:dyDescent="0.25">
      <c r="A35">
        <v>35</v>
      </c>
      <c r="B35">
        <v>110</v>
      </c>
      <c r="C35">
        <v>75</v>
      </c>
      <c r="F35">
        <v>101</v>
      </c>
      <c r="G35">
        <v>117</v>
      </c>
    </row>
    <row r="36" spans="1:7" x14ac:dyDescent="0.25">
      <c r="A36">
        <v>36</v>
      </c>
      <c r="B36">
        <v>112</v>
      </c>
      <c r="C36">
        <v>79</v>
      </c>
      <c r="F36">
        <v>103</v>
      </c>
      <c r="G36">
        <v>119</v>
      </c>
    </row>
    <row r="37" spans="1:7" x14ac:dyDescent="0.25">
      <c r="A37">
        <v>37</v>
      </c>
      <c r="B37">
        <v>114</v>
      </c>
      <c r="C37">
        <v>82</v>
      </c>
      <c r="F37">
        <v>104</v>
      </c>
      <c r="G37">
        <v>121</v>
      </c>
    </row>
    <row r="38" spans="1:7" x14ac:dyDescent="0.25">
      <c r="A38">
        <v>38</v>
      </c>
      <c r="B38">
        <v>116</v>
      </c>
      <c r="C38">
        <v>86</v>
      </c>
      <c r="F38">
        <v>106</v>
      </c>
      <c r="G38">
        <v>123</v>
      </c>
    </row>
    <row r="39" spans="1:7" x14ac:dyDescent="0.25">
      <c r="A39">
        <v>39</v>
      </c>
      <c r="B39">
        <v>118</v>
      </c>
      <c r="C39">
        <v>88</v>
      </c>
      <c r="F39">
        <v>108</v>
      </c>
      <c r="G39">
        <v>125</v>
      </c>
    </row>
    <row r="40" spans="1:7" x14ac:dyDescent="0.25">
      <c r="A40">
        <v>40</v>
      </c>
      <c r="B40">
        <v>121</v>
      </c>
      <c r="C40">
        <v>92</v>
      </c>
      <c r="F40">
        <v>111</v>
      </c>
      <c r="G40">
        <v>127</v>
      </c>
    </row>
    <row r="41" spans="1:7" x14ac:dyDescent="0.25">
      <c r="A41">
        <v>41</v>
      </c>
      <c r="B41">
        <v>125</v>
      </c>
      <c r="C41">
        <v>95</v>
      </c>
      <c r="F41">
        <v>114</v>
      </c>
      <c r="G41">
        <v>131</v>
      </c>
    </row>
    <row r="42" spans="1:7" x14ac:dyDescent="0.25">
      <c r="A42">
        <v>42</v>
      </c>
      <c r="B42">
        <v>128</v>
      </c>
      <c r="C42">
        <v>97</v>
      </c>
      <c r="F42">
        <v>116</v>
      </c>
      <c r="G42">
        <v>133</v>
      </c>
    </row>
    <row r="43" spans="1:7" x14ac:dyDescent="0.25">
      <c r="A43">
        <v>43</v>
      </c>
      <c r="B43">
        <v>129</v>
      </c>
      <c r="C43">
        <v>97</v>
      </c>
      <c r="F43">
        <v>118</v>
      </c>
      <c r="G43">
        <v>134</v>
      </c>
    </row>
    <row r="44" spans="1:7" x14ac:dyDescent="0.25">
      <c r="A44">
        <v>44</v>
      </c>
      <c r="B44">
        <v>131</v>
      </c>
      <c r="C44">
        <v>98</v>
      </c>
      <c r="F44">
        <v>120</v>
      </c>
      <c r="G44">
        <v>137</v>
      </c>
    </row>
    <row r="45" spans="1:7" x14ac:dyDescent="0.25">
      <c r="A45">
        <v>45</v>
      </c>
      <c r="B45">
        <v>135</v>
      </c>
      <c r="C45">
        <v>99</v>
      </c>
      <c r="F45">
        <v>123</v>
      </c>
      <c r="G45">
        <v>140</v>
      </c>
    </row>
    <row r="46" spans="1:7" x14ac:dyDescent="0.25">
      <c r="A46">
        <v>46</v>
      </c>
      <c r="B46">
        <v>139</v>
      </c>
      <c r="C46">
        <v>99.5</v>
      </c>
      <c r="F46">
        <v>127</v>
      </c>
      <c r="G46">
        <v>144</v>
      </c>
    </row>
    <row r="47" spans="1:7" x14ac:dyDescent="0.25">
      <c r="A47">
        <v>47</v>
      </c>
      <c r="B47">
        <v>148</v>
      </c>
      <c r="C47">
        <v>99.9</v>
      </c>
      <c r="F47">
        <v>135</v>
      </c>
      <c r="G47">
        <v>152</v>
      </c>
    </row>
    <row r="48" spans="1:7" x14ac:dyDescent="0.25">
      <c r="A48">
        <v>48</v>
      </c>
      <c r="B48">
        <v>152</v>
      </c>
      <c r="C48" s="18" t="s">
        <v>68</v>
      </c>
      <c r="F48">
        <v>138</v>
      </c>
      <c r="G48">
        <v>155</v>
      </c>
    </row>
    <row r="49" spans="1:7" x14ac:dyDescent="0.25">
      <c r="A49">
        <v>49</v>
      </c>
      <c r="B49">
        <v>155</v>
      </c>
      <c r="C49" s="18" t="s">
        <v>68</v>
      </c>
      <c r="F49">
        <v>141</v>
      </c>
      <c r="G49">
        <v>158</v>
      </c>
    </row>
    <row r="50" spans="1:7" x14ac:dyDescent="0.25">
      <c r="A50">
        <v>50</v>
      </c>
      <c r="B50">
        <v>155</v>
      </c>
      <c r="C50" s="18" t="s">
        <v>68</v>
      </c>
      <c r="F50">
        <v>141</v>
      </c>
      <c r="G50">
        <v>158</v>
      </c>
    </row>
    <row r="51" spans="1:7" x14ac:dyDescent="0.25">
      <c r="A51">
        <v>51</v>
      </c>
      <c r="B51">
        <v>155</v>
      </c>
      <c r="C51" s="18" t="s">
        <v>68</v>
      </c>
      <c r="F51">
        <v>141</v>
      </c>
      <c r="G51">
        <v>158</v>
      </c>
    </row>
    <row r="52" spans="1:7" x14ac:dyDescent="0.25">
      <c r="A52">
        <v>52</v>
      </c>
      <c r="B52">
        <v>155</v>
      </c>
      <c r="C52" s="18" t="s">
        <v>68</v>
      </c>
      <c r="F52">
        <v>141</v>
      </c>
      <c r="G52">
        <v>158</v>
      </c>
    </row>
    <row r="53" spans="1:7" x14ac:dyDescent="0.25">
      <c r="A53">
        <v>53</v>
      </c>
      <c r="B53">
        <v>155</v>
      </c>
      <c r="C53" s="18" t="s">
        <v>68</v>
      </c>
      <c r="F53">
        <v>141</v>
      </c>
      <c r="G53">
        <v>158</v>
      </c>
    </row>
    <row r="54" spans="1:7" x14ac:dyDescent="0.25">
      <c r="A54">
        <v>54</v>
      </c>
      <c r="B54">
        <v>155</v>
      </c>
      <c r="C54" s="18" t="s">
        <v>68</v>
      </c>
      <c r="F54">
        <v>141</v>
      </c>
      <c r="G54">
        <v>158</v>
      </c>
    </row>
    <row r="55" spans="1:7" x14ac:dyDescent="0.25">
      <c r="A55">
        <v>55</v>
      </c>
      <c r="B55">
        <v>155</v>
      </c>
      <c r="C55" s="18" t="s">
        <v>68</v>
      </c>
      <c r="F55">
        <v>141</v>
      </c>
      <c r="G55">
        <v>158</v>
      </c>
    </row>
    <row r="56" spans="1:7" x14ac:dyDescent="0.25">
      <c r="A56">
        <v>56</v>
      </c>
      <c r="B56">
        <v>155</v>
      </c>
      <c r="C56" s="18" t="s">
        <v>68</v>
      </c>
      <c r="F56">
        <v>141</v>
      </c>
      <c r="G56">
        <v>158</v>
      </c>
    </row>
    <row r="57" spans="1:7" x14ac:dyDescent="0.25">
      <c r="A57">
        <v>57</v>
      </c>
      <c r="B57">
        <v>155</v>
      </c>
      <c r="C57" s="18" t="s">
        <v>68</v>
      </c>
      <c r="F57">
        <v>141</v>
      </c>
      <c r="G57">
        <v>158</v>
      </c>
    </row>
  </sheetData>
  <mergeCells count="2">
    <mergeCell ref="D1:E1"/>
    <mergeCell ref="F1:G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0D8C-046B-4E39-A254-6DB81F84EF31}">
  <dimension ref="A1:G57"/>
  <sheetViews>
    <sheetView workbookViewId="0">
      <selection activeCell="G59" sqref="G59"/>
    </sheetView>
  </sheetViews>
  <sheetFormatPr defaultColWidth="8.7109375" defaultRowHeight="15" x14ac:dyDescent="0.25"/>
  <sheetData>
    <row r="1" spans="1:7" x14ac:dyDescent="0.25">
      <c r="A1" t="s">
        <v>69</v>
      </c>
      <c r="D1" s="30">
        <v>0.9</v>
      </c>
      <c r="E1" s="30"/>
      <c r="F1" s="30">
        <v>0.95</v>
      </c>
      <c r="G1" s="30"/>
    </row>
    <row r="2" spans="1:7" x14ac:dyDescent="0.25">
      <c r="A2" t="s">
        <v>18</v>
      </c>
      <c r="B2" t="s">
        <v>50</v>
      </c>
      <c r="C2" t="s">
        <v>21</v>
      </c>
      <c r="D2" t="s">
        <v>6</v>
      </c>
      <c r="E2" t="s">
        <v>7</v>
      </c>
      <c r="F2" t="s">
        <v>6</v>
      </c>
      <c r="G2" t="s">
        <v>7</v>
      </c>
    </row>
    <row r="3" spans="1:7" x14ac:dyDescent="0.25">
      <c r="A3">
        <v>3</v>
      </c>
      <c r="B3">
        <v>45</v>
      </c>
      <c r="C3" s="18" t="s">
        <v>67</v>
      </c>
      <c r="F3">
        <v>42</v>
      </c>
      <c r="G3">
        <v>59</v>
      </c>
    </row>
    <row r="4" spans="1:7" x14ac:dyDescent="0.25">
      <c r="A4">
        <v>4</v>
      </c>
      <c r="B4">
        <v>49</v>
      </c>
      <c r="C4" s="18" t="s">
        <v>67</v>
      </c>
      <c r="F4">
        <v>46</v>
      </c>
      <c r="G4">
        <v>63</v>
      </c>
    </row>
    <row r="5" spans="1:7" x14ac:dyDescent="0.25">
      <c r="A5">
        <v>5</v>
      </c>
      <c r="B5">
        <v>52</v>
      </c>
      <c r="C5">
        <v>0.1</v>
      </c>
      <c r="F5">
        <v>48</v>
      </c>
      <c r="G5">
        <v>65</v>
      </c>
    </row>
    <row r="6" spans="1:7" x14ac:dyDescent="0.25">
      <c r="A6">
        <v>6</v>
      </c>
      <c r="B6">
        <v>55</v>
      </c>
      <c r="C6">
        <v>0.1</v>
      </c>
      <c r="F6">
        <v>51</v>
      </c>
      <c r="G6">
        <v>68</v>
      </c>
    </row>
    <row r="7" spans="1:7" x14ac:dyDescent="0.25">
      <c r="A7">
        <v>7</v>
      </c>
      <c r="B7">
        <v>57</v>
      </c>
      <c r="C7">
        <v>0.2</v>
      </c>
      <c r="F7">
        <v>53</v>
      </c>
      <c r="G7">
        <v>70</v>
      </c>
    </row>
    <row r="8" spans="1:7" x14ac:dyDescent="0.25">
      <c r="A8">
        <v>8</v>
      </c>
      <c r="B8">
        <v>59</v>
      </c>
      <c r="C8">
        <v>0.3</v>
      </c>
      <c r="F8">
        <v>55</v>
      </c>
      <c r="G8">
        <v>72</v>
      </c>
    </row>
    <row r="9" spans="1:7" x14ac:dyDescent="0.25">
      <c r="A9">
        <v>9</v>
      </c>
      <c r="B9">
        <v>62</v>
      </c>
      <c r="C9">
        <v>1</v>
      </c>
      <c r="F9">
        <v>57</v>
      </c>
      <c r="G9">
        <v>74</v>
      </c>
    </row>
    <row r="10" spans="1:7" x14ac:dyDescent="0.25">
      <c r="A10">
        <v>10</v>
      </c>
      <c r="B10">
        <v>63</v>
      </c>
      <c r="C10">
        <v>1</v>
      </c>
      <c r="F10">
        <v>59</v>
      </c>
      <c r="G10">
        <v>75</v>
      </c>
    </row>
    <row r="11" spans="1:7" x14ac:dyDescent="0.25">
      <c r="A11">
        <v>11</v>
      </c>
      <c r="B11">
        <v>64</v>
      </c>
      <c r="C11">
        <v>1</v>
      </c>
      <c r="F11">
        <v>59</v>
      </c>
      <c r="G11">
        <v>76</v>
      </c>
    </row>
    <row r="12" spans="1:7" x14ac:dyDescent="0.25">
      <c r="A12">
        <v>12</v>
      </c>
      <c r="B12">
        <v>65</v>
      </c>
      <c r="C12">
        <v>1</v>
      </c>
      <c r="F12">
        <v>60</v>
      </c>
      <c r="G12">
        <v>77</v>
      </c>
    </row>
    <row r="13" spans="1:7" x14ac:dyDescent="0.25">
      <c r="A13">
        <v>13</v>
      </c>
      <c r="B13">
        <v>67</v>
      </c>
      <c r="C13">
        <v>1</v>
      </c>
      <c r="F13">
        <v>62</v>
      </c>
      <c r="G13">
        <v>78</v>
      </c>
    </row>
    <row r="14" spans="1:7" x14ac:dyDescent="0.25">
      <c r="A14">
        <v>14</v>
      </c>
      <c r="B14">
        <v>70</v>
      </c>
      <c r="C14">
        <v>2</v>
      </c>
      <c r="F14">
        <v>65</v>
      </c>
      <c r="G14">
        <v>82</v>
      </c>
    </row>
    <row r="15" spans="1:7" x14ac:dyDescent="0.25">
      <c r="A15">
        <v>15</v>
      </c>
      <c r="B15">
        <v>71</v>
      </c>
      <c r="C15">
        <v>3</v>
      </c>
      <c r="F15">
        <v>65</v>
      </c>
      <c r="G15">
        <v>82</v>
      </c>
    </row>
    <row r="16" spans="1:7" x14ac:dyDescent="0.25">
      <c r="A16">
        <v>16</v>
      </c>
      <c r="B16">
        <v>72</v>
      </c>
      <c r="C16">
        <v>3</v>
      </c>
      <c r="F16">
        <v>67</v>
      </c>
      <c r="G16">
        <v>83</v>
      </c>
    </row>
    <row r="17" spans="1:7" x14ac:dyDescent="0.25">
      <c r="A17">
        <v>17</v>
      </c>
      <c r="B17">
        <v>73</v>
      </c>
      <c r="C17">
        <v>4</v>
      </c>
      <c r="F17">
        <v>68</v>
      </c>
      <c r="G17">
        <v>85</v>
      </c>
    </row>
    <row r="18" spans="1:7" x14ac:dyDescent="0.25">
      <c r="A18">
        <v>18</v>
      </c>
      <c r="B18">
        <v>75</v>
      </c>
      <c r="C18">
        <v>5</v>
      </c>
      <c r="F18">
        <v>69</v>
      </c>
      <c r="G18">
        <v>86</v>
      </c>
    </row>
    <row r="19" spans="1:7" x14ac:dyDescent="0.25">
      <c r="A19">
        <v>19</v>
      </c>
      <c r="B19">
        <v>76</v>
      </c>
      <c r="C19">
        <v>5</v>
      </c>
      <c r="F19">
        <v>70</v>
      </c>
      <c r="G19">
        <v>87</v>
      </c>
    </row>
    <row r="20" spans="1:7" x14ac:dyDescent="0.25">
      <c r="A20">
        <v>20</v>
      </c>
      <c r="B20">
        <v>78</v>
      </c>
      <c r="C20">
        <v>7</v>
      </c>
      <c r="F20">
        <v>72</v>
      </c>
      <c r="G20">
        <v>89</v>
      </c>
    </row>
    <row r="21" spans="1:7" x14ac:dyDescent="0.25">
      <c r="A21">
        <v>21</v>
      </c>
      <c r="B21">
        <v>80</v>
      </c>
      <c r="C21">
        <v>9</v>
      </c>
      <c r="F21">
        <v>74</v>
      </c>
      <c r="G21">
        <v>91</v>
      </c>
    </row>
    <row r="22" spans="1:7" x14ac:dyDescent="0.25">
      <c r="A22">
        <v>22</v>
      </c>
      <c r="B22">
        <v>82</v>
      </c>
      <c r="C22">
        <v>12</v>
      </c>
      <c r="F22">
        <v>76</v>
      </c>
      <c r="G22">
        <v>93</v>
      </c>
    </row>
    <row r="23" spans="1:7" x14ac:dyDescent="0.25">
      <c r="A23">
        <v>23</v>
      </c>
      <c r="B23">
        <v>85</v>
      </c>
      <c r="C23">
        <v>16</v>
      </c>
      <c r="F23">
        <v>78</v>
      </c>
      <c r="G23">
        <v>95</v>
      </c>
    </row>
    <row r="24" spans="1:7" x14ac:dyDescent="0.25">
      <c r="A24">
        <v>24</v>
      </c>
      <c r="B24">
        <v>87</v>
      </c>
      <c r="C24">
        <v>19</v>
      </c>
      <c r="F24">
        <v>80</v>
      </c>
      <c r="G24">
        <v>97</v>
      </c>
    </row>
    <row r="25" spans="1:7" x14ac:dyDescent="0.25">
      <c r="A25">
        <v>25</v>
      </c>
      <c r="B25">
        <v>89</v>
      </c>
      <c r="C25">
        <v>23</v>
      </c>
      <c r="F25">
        <v>82</v>
      </c>
      <c r="G25">
        <v>99</v>
      </c>
    </row>
    <row r="26" spans="1:7" x14ac:dyDescent="0.25">
      <c r="A26">
        <v>26</v>
      </c>
      <c r="B26">
        <v>91</v>
      </c>
      <c r="C26">
        <v>27</v>
      </c>
      <c r="F26">
        <v>84</v>
      </c>
      <c r="G26">
        <v>101</v>
      </c>
    </row>
    <row r="27" spans="1:7" x14ac:dyDescent="0.25">
      <c r="A27">
        <v>27</v>
      </c>
      <c r="B27">
        <v>93</v>
      </c>
      <c r="C27">
        <v>32</v>
      </c>
      <c r="F27">
        <v>86</v>
      </c>
      <c r="G27">
        <v>103</v>
      </c>
    </row>
    <row r="28" spans="1:7" x14ac:dyDescent="0.25">
      <c r="A28">
        <v>28</v>
      </c>
      <c r="B28">
        <v>96</v>
      </c>
      <c r="C28">
        <v>39</v>
      </c>
      <c r="F28">
        <v>88</v>
      </c>
      <c r="G28">
        <v>105</v>
      </c>
    </row>
    <row r="29" spans="1:7" x14ac:dyDescent="0.25">
      <c r="A29">
        <v>29</v>
      </c>
      <c r="B29">
        <v>98</v>
      </c>
      <c r="C29">
        <v>45</v>
      </c>
      <c r="F29">
        <v>90</v>
      </c>
      <c r="G29">
        <v>106</v>
      </c>
    </row>
    <row r="30" spans="1:7" x14ac:dyDescent="0.25">
      <c r="A30">
        <v>30</v>
      </c>
      <c r="B30">
        <v>99</v>
      </c>
      <c r="C30">
        <v>47</v>
      </c>
      <c r="F30">
        <v>91</v>
      </c>
      <c r="G30">
        <v>108</v>
      </c>
    </row>
    <row r="31" spans="1:7" x14ac:dyDescent="0.25">
      <c r="A31">
        <v>31</v>
      </c>
      <c r="B31">
        <v>101</v>
      </c>
      <c r="C31">
        <v>53</v>
      </c>
      <c r="F31">
        <v>92</v>
      </c>
      <c r="G31">
        <v>109</v>
      </c>
    </row>
    <row r="32" spans="1:7" x14ac:dyDescent="0.25">
      <c r="A32">
        <v>32</v>
      </c>
      <c r="B32">
        <v>103</v>
      </c>
      <c r="C32">
        <v>58</v>
      </c>
      <c r="F32">
        <v>94</v>
      </c>
      <c r="G32">
        <v>111</v>
      </c>
    </row>
    <row r="33" spans="1:7" x14ac:dyDescent="0.25">
      <c r="A33">
        <v>33</v>
      </c>
      <c r="B33">
        <v>105</v>
      </c>
      <c r="C33">
        <v>63</v>
      </c>
      <c r="F33">
        <v>96</v>
      </c>
      <c r="G33">
        <v>113</v>
      </c>
    </row>
    <row r="34" spans="1:7" x14ac:dyDescent="0.25">
      <c r="A34">
        <v>34</v>
      </c>
      <c r="B34">
        <v>108</v>
      </c>
      <c r="C34">
        <v>70</v>
      </c>
      <c r="F34">
        <v>98</v>
      </c>
      <c r="G34">
        <v>115</v>
      </c>
    </row>
    <row r="35" spans="1:7" x14ac:dyDescent="0.25">
      <c r="A35">
        <v>35</v>
      </c>
      <c r="B35">
        <v>110</v>
      </c>
      <c r="C35">
        <v>75</v>
      </c>
      <c r="F35">
        <v>100</v>
      </c>
      <c r="G35">
        <v>117</v>
      </c>
    </row>
    <row r="36" spans="1:7" x14ac:dyDescent="0.25">
      <c r="A36">
        <v>36</v>
      </c>
      <c r="B36">
        <v>112</v>
      </c>
      <c r="C36">
        <v>79</v>
      </c>
      <c r="F36">
        <v>102</v>
      </c>
      <c r="G36">
        <v>119</v>
      </c>
    </row>
    <row r="37" spans="1:7" x14ac:dyDescent="0.25">
      <c r="A37">
        <v>37</v>
      </c>
      <c r="B37">
        <v>114</v>
      </c>
      <c r="C37">
        <v>82</v>
      </c>
      <c r="F37">
        <v>104</v>
      </c>
      <c r="G37">
        <v>121</v>
      </c>
    </row>
    <row r="38" spans="1:7" x14ac:dyDescent="0.25">
      <c r="A38">
        <v>38</v>
      </c>
      <c r="B38">
        <v>117</v>
      </c>
      <c r="C38">
        <v>87</v>
      </c>
      <c r="F38">
        <v>107</v>
      </c>
      <c r="G38">
        <v>124</v>
      </c>
    </row>
    <row r="39" spans="1:7" x14ac:dyDescent="0.25">
      <c r="A39">
        <v>39</v>
      </c>
      <c r="B39">
        <v>120</v>
      </c>
      <c r="C39">
        <v>91</v>
      </c>
      <c r="F39">
        <v>109</v>
      </c>
      <c r="G39">
        <v>126</v>
      </c>
    </row>
    <row r="40" spans="1:7" x14ac:dyDescent="0.25">
      <c r="A40">
        <v>40</v>
      </c>
      <c r="B40">
        <v>122</v>
      </c>
      <c r="C40">
        <v>93</v>
      </c>
      <c r="F40">
        <v>111</v>
      </c>
      <c r="G40">
        <v>128</v>
      </c>
    </row>
    <row r="41" spans="1:7" x14ac:dyDescent="0.25">
      <c r="A41">
        <v>41</v>
      </c>
      <c r="B41">
        <v>124</v>
      </c>
      <c r="C41">
        <v>95</v>
      </c>
      <c r="F41">
        <v>113</v>
      </c>
      <c r="G41">
        <v>130</v>
      </c>
    </row>
    <row r="42" spans="1:7" x14ac:dyDescent="0.25">
      <c r="A42">
        <v>42</v>
      </c>
      <c r="B42">
        <v>126</v>
      </c>
      <c r="C42">
        <v>96</v>
      </c>
      <c r="F42">
        <v>115</v>
      </c>
      <c r="G42">
        <v>132</v>
      </c>
    </row>
    <row r="43" spans="1:7" x14ac:dyDescent="0.25">
      <c r="A43">
        <v>43</v>
      </c>
      <c r="B43">
        <v>127</v>
      </c>
      <c r="C43">
        <v>96</v>
      </c>
      <c r="F43">
        <v>116</v>
      </c>
      <c r="G43">
        <v>133</v>
      </c>
    </row>
    <row r="44" spans="1:7" x14ac:dyDescent="0.25">
      <c r="A44">
        <v>44</v>
      </c>
      <c r="B44">
        <v>129</v>
      </c>
      <c r="C44">
        <v>97</v>
      </c>
      <c r="F44">
        <v>118</v>
      </c>
      <c r="G44">
        <v>134</v>
      </c>
    </row>
    <row r="45" spans="1:7" x14ac:dyDescent="0.25">
      <c r="A45">
        <v>45</v>
      </c>
      <c r="B45">
        <v>132</v>
      </c>
      <c r="C45">
        <v>98</v>
      </c>
      <c r="F45">
        <v>120</v>
      </c>
      <c r="G45">
        <v>137</v>
      </c>
    </row>
    <row r="46" spans="1:7" x14ac:dyDescent="0.25">
      <c r="A46">
        <v>46</v>
      </c>
      <c r="B46">
        <v>135</v>
      </c>
      <c r="C46">
        <v>99</v>
      </c>
      <c r="F46">
        <v>123</v>
      </c>
      <c r="G46">
        <v>140</v>
      </c>
    </row>
    <row r="47" spans="1:7" x14ac:dyDescent="0.25">
      <c r="A47">
        <v>47</v>
      </c>
      <c r="B47">
        <v>137</v>
      </c>
      <c r="C47">
        <v>99</v>
      </c>
      <c r="F47">
        <v>125</v>
      </c>
      <c r="G47">
        <v>141</v>
      </c>
    </row>
    <row r="48" spans="1:7" x14ac:dyDescent="0.25">
      <c r="A48">
        <v>48</v>
      </c>
      <c r="B48">
        <v>138</v>
      </c>
      <c r="C48" s="18">
        <v>99</v>
      </c>
      <c r="F48">
        <v>126</v>
      </c>
      <c r="G48">
        <v>143</v>
      </c>
    </row>
    <row r="49" spans="1:7" x14ac:dyDescent="0.25">
      <c r="A49">
        <v>49</v>
      </c>
      <c r="B49">
        <v>139</v>
      </c>
      <c r="C49" s="18">
        <v>99.5</v>
      </c>
      <c r="F49">
        <v>127</v>
      </c>
      <c r="G49">
        <v>144</v>
      </c>
    </row>
    <row r="50" spans="1:7" x14ac:dyDescent="0.25">
      <c r="A50">
        <v>50</v>
      </c>
      <c r="B50">
        <v>142</v>
      </c>
      <c r="C50" s="18">
        <v>99.7</v>
      </c>
      <c r="F50">
        <v>129</v>
      </c>
      <c r="G50">
        <v>146</v>
      </c>
    </row>
    <row r="51" spans="1:7" x14ac:dyDescent="0.25">
      <c r="A51">
        <v>51</v>
      </c>
      <c r="B51">
        <v>148</v>
      </c>
      <c r="C51" s="18">
        <v>99.9</v>
      </c>
      <c r="F51">
        <v>135</v>
      </c>
      <c r="G51">
        <v>152</v>
      </c>
    </row>
    <row r="52" spans="1:7" x14ac:dyDescent="0.25">
      <c r="A52">
        <v>52</v>
      </c>
      <c r="B52">
        <v>150</v>
      </c>
      <c r="C52" s="18" t="s">
        <v>68</v>
      </c>
      <c r="F52">
        <v>136</v>
      </c>
      <c r="G52">
        <v>153</v>
      </c>
    </row>
    <row r="53" spans="1:7" x14ac:dyDescent="0.25">
      <c r="A53">
        <v>53</v>
      </c>
      <c r="B53">
        <v>152</v>
      </c>
      <c r="C53" s="18" t="s">
        <v>68</v>
      </c>
      <c r="F53">
        <v>138</v>
      </c>
      <c r="G53">
        <v>155</v>
      </c>
    </row>
    <row r="54" spans="1:7" x14ac:dyDescent="0.25">
      <c r="A54">
        <v>54</v>
      </c>
      <c r="B54">
        <v>155</v>
      </c>
      <c r="C54" s="18" t="s">
        <v>68</v>
      </c>
      <c r="F54">
        <v>141</v>
      </c>
      <c r="G54">
        <v>158</v>
      </c>
    </row>
    <row r="55" spans="1:7" x14ac:dyDescent="0.25">
      <c r="A55">
        <v>55</v>
      </c>
      <c r="B55">
        <v>155</v>
      </c>
      <c r="C55" s="18" t="s">
        <v>68</v>
      </c>
      <c r="F55">
        <v>141</v>
      </c>
      <c r="G55">
        <v>158</v>
      </c>
    </row>
    <row r="56" spans="1:7" x14ac:dyDescent="0.25">
      <c r="A56">
        <v>56</v>
      </c>
      <c r="B56">
        <v>155</v>
      </c>
      <c r="C56" s="18" t="s">
        <v>68</v>
      </c>
      <c r="F56">
        <v>141</v>
      </c>
      <c r="G56">
        <v>158</v>
      </c>
    </row>
    <row r="57" spans="1:7" x14ac:dyDescent="0.25">
      <c r="A57">
        <v>57</v>
      </c>
      <c r="B57">
        <v>155</v>
      </c>
      <c r="C57" s="18" t="s">
        <v>68</v>
      </c>
      <c r="F57">
        <v>141</v>
      </c>
      <c r="G57">
        <v>158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4FD8-A431-4200-BF37-FAAAF8784810}">
  <dimension ref="A1:G57"/>
  <sheetViews>
    <sheetView workbookViewId="0">
      <selection activeCell="G40" sqref="G40"/>
    </sheetView>
  </sheetViews>
  <sheetFormatPr defaultColWidth="8.7109375" defaultRowHeight="15" x14ac:dyDescent="0.25"/>
  <sheetData>
    <row r="1" spans="1:7" x14ac:dyDescent="0.25">
      <c r="A1" t="s">
        <v>70</v>
      </c>
      <c r="D1" s="30">
        <v>0.9</v>
      </c>
      <c r="E1" s="30"/>
      <c r="F1" s="30">
        <v>0.95</v>
      </c>
      <c r="G1" s="30"/>
    </row>
    <row r="2" spans="1:7" x14ac:dyDescent="0.25">
      <c r="A2" t="s">
        <v>18</v>
      </c>
      <c r="B2" t="s">
        <v>51</v>
      </c>
      <c r="C2" t="s">
        <v>21</v>
      </c>
      <c r="D2" t="s">
        <v>6</v>
      </c>
      <c r="E2" t="s">
        <v>7</v>
      </c>
      <c r="F2" t="s">
        <v>6</v>
      </c>
      <c r="G2" t="s">
        <v>7</v>
      </c>
    </row>
    <row r="3" spans="1:7" x14ac:dyDescent="0.25">
      <c r="A3">
        <v>2</v>
      </c>
      <c r="B3">
        <v>45</v>
      </c>
      <c r="C3" s="18" t="s">
        <v>67</v>
      </c>
      <c r="F3">
        <v>42</v>
      </c>
      <c r="G3">
        <v>57</v>
      </c>
    </row>
    <row r="4" spans="1:7" x14ac:dyDescent="0.25">
      <c r="A4">
        <v>3</v>
      </c>
      <c r="B4">
        <v>51</v>
      </c>
      <c r="C4" s="18">
        <v>0.1</v>
      </c>
      <c r="F4">
        <v>47</v>
      </c>
      <c r="G4">
        <v>63</v>
      </c>
    </row>
    <row r="5" spans="1:7" x14ac:dyDescent="0.25">
      <c r="A5">
        <v>4</v>
      </c>
      <c r="B5">
        <v>59</v>
      </c>
      <c r="C5">
        <v>0.3</v>
      </c>
      <c r="F5">
        <v>55</v>
      </c>
      <c r="G5">
        <v>70</v>
      </c>
    </row>
    <row r="6" spans="1:7" x14ac:dyDescent="0.25">
      <c r="A6">
        <v>5</v>
      </c>
      <c r="B6">
        <v>61</v>
      </c>
      <c r="C6">
        <v>0.5</v>
      </c>
      <c r="F6">
        <v>56</v>
      </c>
      <c r="G6">
        <v>72</v>
      </c>
    </row>
    <row r="7" spans="1:7" x14ac:dyDescent="0.25">
      <c r="A7">
        <v>6</v>
      </c>
      <c r="B7">
        <v>62</v>
      </c>
      <c r="C7">
        <v>1</v>
      </c>
      <c r="F7">
        <v>58</v>
      </c>
      <c r="G7">
        <v>73</v>
      </c>
    </row>
    <row r="8" spans="1:7" x14ac:dyDescent="0.25">
      <c r="A8">
        <v>7</v>
      </c>
      <c r="B8">
        <v>65</v>
      </c>
      <c r="C8">
        <v>1</v>
      </c>
      <c r="F8">
        <v>60</v>
      </c>
      <c r="G8">
        <v>75</v>
      </c>
    </row>
    <row r="9" spans="1:7" x14ac:dyDescent="0.25">
      <c r="A9">
        <v>8</v>
      </c>
      <c r="B9">
        <v>66</v>
      </c>
      <c r="C9">
        <v>1</v>
      </c>
      <c r="F9">
        <v>61</v>
      </c>
      <c r="G9">
        <v>76</v>
      </c>
    </row>
    <row r="10" spans="1:7" x14ac:dyDescent="0.25">
      <c r="A10">
        <v>9</v>
      </c>
      <c r="B10">
        <v>67</v>
      </c>
      <c r="C10">
        <v>1</v>
      </c>
      <c r="F10">
        <v>62</v>
      </c>
      <c r="G10">
        <v>78</v>
      </c>
    </row>
    <row r="11" spans="1:7" x14ac:dyDescent="0.25">
      <c r="A11">
        <v>10</v>
      </c>
      <c r="B11">
        <v>71</v>
      </c>
      <c r="C11">
        <v>3</v>
      </c>
      <c r="F11">
        <v>66</v>
      </c>
      <c r="G11">
        <v>81</v>
      </c>
    </row>
    <row r="12" spans="1:7" x14ac:dyDescent="0.25">
      <c r="A12">
        <v>11</v>
      </c>
      <c r="B12">
        <v>74</v>
      </c>
      <c r="C12">
        <v>4</v>
      </c>
      <c r="F12">
        <v>69</v>
      </c>
      <c r="G12">
        <v>84</v>
      </c>
    </row>
    <row r="13" spans="1:7" x14ac:dyDescent="0.25">
      <c r="A13">
        <v>12</v>
      </c>
      <c r="B13">
        <v>77</v>
      </c>
      <c r="C13">
        <v>6</v>
      </c>
      <c r="F13">
        <v>71</v>
      </c>
      <c r="G13">
        <v>87</v>
      </c>
    </row>
    <row r="14" spans="1:7" x14ac:dyDescent="0.25">
      <c r="A14">
        <v>13</v>
      </c>
      <c r="B14">
        <v>79</v>
      </c>
      <c r="C14">
        <v>9</v>
      </c>
      <c r="F14">
        <v>73</v>
      </c>
      <c r="G14">
        <v>89</v>
      </c>
    </row>
    <row r="15" spans="1:7" x14ac:dyDescent="0.25">
      <c r="A15">
        <v>14</v>
      </c>
      <c r="B15">
        <v>81</v>
      </c>
      <c r="C15">
        <v>10</v>
      </c>
      <c r="F15">
        <v>75</v>
      </c>
      <c r="G15">
        <v>91</v>
      </c>
    </row>
    <row r="16" spans="1:7" x14ac:dyDescent="0.25">
      <c r="A16">
        <v>15</v>
      </c>
      <c r="B16">
        <v>84</v>
      </c>
      <c r="C16">
        <v>14</v>
      </c>
      <c r="F16">
        <v>78</v>
      </c>
      <c r="G16">
        <v>93</v>
      </c>
    </row>
    <row r="17" spans="1:7" x14ac:dyDescent="0.25">
      <c r="A17">
        <v>16</v>
      </c>
      <c r="B17">
        <v>87</v>
      </c>
      <c r="C17">
        <v>19</v>
      </c>
      <c r="F17">
        <v>80</v>
      </c>
      <c r="G17">
        <v>96</v>
      </c>
    </row>
    <row r="18" spans="1:7" x14ac:dyDescent="0.25">
      <c r="A18">
        <v>17</v>
      </c>
      <c r="B18">
        <v>90</v>
      </c>
      <c r="C18">
        <v>25</v>
      </c>
      <c r="F18">
        <v>83</v>
      </c>
      <c r="G18">
        <v>99</v>
      </c>
    </row>
    <row r="19" spans="1:7" x14ac:dyDescent="0.25">
      <c r="A19">
        <v>18</v>
      </c>
      <c r="B19">
        <v>94</v>
      </c>
      <c r="C19">
        <v>34</v>
      </c>
      <c r="F19">
        <v>86</v>
      </c>
      <c r="G19">
        <v>102</v>
      </c>
    </row>
    <row r="20" spans="1:7" x14ac:dyDescent="0.25">
      <c r="A20">
        <v>19</v>
      </c>
      <c r="B20">
        <v>97</v>
      </c>
      <c r="C20">
        <v>42</v>
      </c>
      <c r="F20">
        <v>89</v>
      </c>
      <c r="G20">
        <v>105</v>
      </c>
    </row>
    <row r="21" spans="1:7" x14ac:dyDescent="0.25">
      <c r="A21">
        <v>20</v>
      </c>
      <c r="B21">
        <v>100</v>
      </c>
      <c r="C21">
        <v>50</v>
      </c>
      <c r="F21">
        <v>92</v>
      </c>
      <c r="G21">
        <v>108</v>
      </c>
    </row>
    <row r="22" spans="1:7" x14ac:dyDescent="0.25">
      <c r="A22">
        <v>21</v>
      </c>
      <c r="B22">
        <v>102</v>
      </c>
      <c r="C22">
        <v>55</v>
      </c>
      <c r="F22">
        <v>94</v>
      </c>
      <c r="G22">
        <v>110</v>
      </c>
    </row>
    <row r="23" spans="1:7" x14ac:dyDescent="0.25">
      <c r="A23">
        <v>22</v>
      </c>
      <c r="B23">
        <v>106</v>
      </c>
      <c r="C23">
        <v>66</v>
      </c>
      <c r="F23">
        <v>98</v>
      </c>
      <c r="G23">
        <v>113</v>
      </c>
    </row>
    <row r="24" spans="1:7" x14ac:dyDescent="0.25">
      <c r="A24">
        <v>23</v>
      </c>
      <c r="B24">
        <v>109</v>
      </c>
      <c r="C24">
        <v>73</v>
      </c>
      <c r="F24">
        <v>101</v>
      </c>
      <c r="G24">
        <v>116</v>
      </c>
    </row>
    <row r="25" spans="1:7" x14ac:dyDescent="0.25">
      <c r="A25">
        <v>24</v>
      </c>
      <c r="B25">
        <v>112</v>
      </c>
      <c r="C25">
        <v>79</v>
      </c>
      <c r="F25">
        <v>104</v>
      </c>
      <c r="G25">
        <v>119</v>
      </c>
    </row>
    <row r="26" spans="1:7" x14ac:dyDescent="0.25">
      <c r="A26">
        <v>25</v>
      </c>
      <c r="B26">
        <v>115</v>
      </c>
      <c r="C26">
        <v>84</v>
      </c>
      <c r="F26">
        <v>106</v>
      </c>
      <c r="G26">
        <v>122</v>
      </c>
    </row>
    <row r="27" spans="1:7" x14ac:dyDescent="0.25">
      <c r="A27">
        <v>26</v>
      </c>
      <c r="B27">
        <v>118</v>
      </c>
      <c r="C27">
        <v>88</v>
      </c>
      <c r="F27">
        <v>109</v>
      </c>
      <c r="G27">
        <v>124</v>
      </c>
    </row>
    <row r="28" spans="1:7" x14ac:dyDescent="0.25">
      <c r="A28">
        <v>27</v>
      </c>
      <c r="B28">
        <v>121</v>
      </c>
      <c r="C28">
        <v>92</v>
      </c>
      <c r="F28">
        <v>112</v>
      </c>
      <c r="G28">
        <v>127</v>
      </c>
    </row>
    <row r="29" spans="1:7" x14ac:dyDescent="0.25">
      <c r="A29">
        <v>28</v>
      </c>
      <c r="B29">
        <v>124</v>
      </c>
      <c r="C29">
        <v>95</v>
      </c>
      <c r="F29">
        <v>114</v>
      </c>
      <c r="G29">
        <v>130</v>
      </c>
    </row>
    <row r="30" spans="1:7" x14ac:dyDescent="0.25">
      <c r="A30">
        <v>29</v>
      </c>
      <c r="B30">
        <v>126</v>
      </c>
      <c r="C30">
        <v>96</v>
      </c>
      <c r="F30">
        <v>116</v>
      </c>
      <c r="G30">
        <v>132</v>
      </c>
    </row>
    <row r="31" spans="1:7" x14ac:dyDescent="0.25">
      <c r="A31">
        <v>30</v>
      </c>
      <c r="B31">
        <v>129</v>
      </c>
      <c r="C31">
        <v>97</v>
      </c>
      <c r="F31">
        <v>119</v>
      </c>
      <c r="G31">
        <v>135</v>
      </c>
    </row>
    <row r="32" spans="1:7" x14ac:dyDescent="0.25">
      <c r="A32">
        <v>31</v>
      </c>
      <c r="B32">
        <v>132</v>
      </c>
      <c r="C32">
        <v>98</v>
      </c>
      <c r="F32">
        <v>122</v>
      </c>
      <c r="G32">
        <v>137</v>
      </c>
    </row>
    <row r="33" spans="1:7" x14ac:dyDescent="0.25">
      <c r="A33">
        <v>32</v>
      </c>
      <c r="B33">
        <v>135</v>
      </c>
      <c r="C33">
        <v>99</v>
      </c>
      <c r="F33">
        <v>124</v>
      </c>
      <c r="G33">
        <v>140</v>
      </c>
    </row>
    <row r="34" spans="1:7" x14ac:dyDescent="0.25">
      <c r="A34">
        <v>33</v>
      </c>
      <c r="B34">
        <v>139</v>
      </c>
      <c r="C34">
        <v>99.5</v>
      </c>
      <c r="F34">
        <v>128</v>
      </c>
      <c r="G34">
        <v>144</v>
      </c>
    </row>
    <row r="35" spans="1:7" x14ac:dyDescent="0.25">
      <c r="A35">
        <v>34</v>
      </c>
      <c r="B35">
        <v>143</v>
      </c>
      <c r="C35">
        <v>99.8</v>
      </c>
      <c r="F35">
        <v>132</v>
      </c>
      <c r="G35">
        <v>147</v>
      </c>
    </row>
    <row r="36" spans="1:7" x14ac:dyDescent="0.25">
      <c r="A36">
        <v>35</v>
      </c>
      <c r="B36">
        <v>148</v>
      </c>
      <c r="C36">
        <v>99.9</v>
      </c>
      <c r="F36">
        <v>137</v>
      </c>
      <c r="G36">
        <v>152</v>
      </c>
    </row>
    <row r="37" spans="1:7" x14ac:dyDescent="0.25">
      <c r="A37">
        <v>36</v>
      </c>
      <c r="B37">
        <v>150</v>
      </c>
      <c r="C37" s="18" t="s">
        <v>68</v>
      </c>
      <c r="F37">
        <v>138</v>
      </c>
      <c r="G37">
        <v>154</v>
      </c>
    </row>
    <row r="38" spans="1:7" x14ac:dyDescent="0.25">
      <c r="A38">
        <v>37</v>
      </c>
      <c r="B38">
        <v>153</v>
      </c>
      <c r="C38" s="18" t="s">
        <v>68</v>
      </c>
      <c r="F38">
        <v>141</v>
      </c>
      <c r="G38">
        <v>156</v>
      </c>
    </row>
    <row r="39" spans="1:7" x14ac:dyDescent="0.25">
      <c r="A39">
        <v>38</v>
      </c>
      <c r="B39">
        <v>155</v>
      </c>
      <c r="C39" s="18" t="s">
        <v>68</v>
      </c>
      <c r="F39">
        <v>143</v>
      </c>
      <c r="G39">
        <v>158</v>
      </c>
    </row>
    <row r="48" spans="1:7" x14ac:dyDescent="0.25">
      <c r="C48" s="18"/>
    </row>
    <row r="49" spans="3:3" x14ac:dyDescent="0.25">
      <c r="C49" s="18"/>
    </row>
    <row r="50" spans="3:3" x14ac:dyDescent="0.25">
      <c r="C50" s="18"/>
    </row>
    <row r="51" spans="3:3" x14ac:dyDescent="0.25">
      <c r="C51" s="18"/>
    </row>
    <row r="52" spans="3:3" x14ac:dyDescent="0.25">
      <c r="C52" s="18"/>
    </row>
    <row r="53" spans="3:3" x14ac:dyDescent="0.25">
      <c r="C53" s="18"/>
    </row>
    <row r="54" spans="3:3" x14ac:dyDescent="0.25">
      <c r="C54" s="18"/>
    </row>
    <row r="55" spans="3:3" x14ac:dyDescent="0.25">
      <c r="C55" s="18"/>
    </row>
    <row r="56" spans="3:3" x14ac:dyDescent="0.25">
      <c r="C56" s="18"/>
    </row>
    <row r="57" spans="3:3" x14ac:dyDescent="0.25">
      <c r="C57" s="18"/>
    </row>
  </sheetData>
  <mergeCells count="2">
    <mergeCell ref="D1:E1"/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E164-EB7F-4900-8809-ACD4CBC1E7A8}">
  <dimension ref="A1:X14"/>
  <sheetViews>
    <sheetView workbookViewId="0">
      <selection activeCell="C8" sqref="C8"/>
    </sheetView>
  </sheetViews>
  <sheetFormatPr defaultRowHeight="15" x14ac:dyDescent="0.25"/>
  <sheetData>
    <row r="1" spans="1:24" x14ac:dyDescent="0.25">
      <c r="B1" t="s">
        <v>95</v>
      </c>
      <c r="C1" t="s">
        <v>96</v>
      </c>
      <c r="D1" t="s">
        <v>97</v>
      </c>
    </row>
    <row r="2" spans="1:24" x14ac:dyDescent="0.25">
      <c r="A2" s="18" t="s">
        <v>101</v>
      </c>
      <c r="B2">
        <v>0</v>
      </c>
      <c r="C2">
        <v>0</v>
      </c>
    </row>
    <row r="3" spans="1:24" x14ac:dyDescent="0.25">
      <c r="A3" s="18">
        <v>1</v>
      </c>
      <c r="B3">
        <v>1</v>
      </c>
      <c r="C3">
        <v>1</v>
      </c>
      <c r="D3">
        <v>40</v>
      </c>
      <c r="F3">
        <v>1</v>
      </c>
      <c r="G3">
        <v>3</v>
      </c>
      <c r="H3">
        <v>3</v>
      </c>
      <c r="I3">
        <v>64</v>
      </c>
      <c r="K3">
        <v>1</v>
      </c>
      <c r="L3">
        <v>1</v>
      </c>
      <c r="M3">
        <v>3</v>
      </c>
      <c r="N3">
        <v>42</v>
      </c>
      <c r="P3">
        <v>1</v>
      </c>
      <c r="Q3">
        <v>0</v>
      </c>
      <c r="R3">
        <v>1</v>
      </c>
      <c r="S3">
        <v>23</v>
      </c>
      <c r="U3">
        <v>1</v>
      </c>
      <c r="V3">
        <v>0</v>
      </c>
      <c r="W3">
        <v>1</v>
      </c>
      <c r="X3">
        <v>26</v>
      </c>
    </row>
    <row r="4" spans="1:24" x14ac:dyDescent="0.25">
      <c r="A4" s="25" t="s">
        <v>102</v>
      </c>
      <c r="B4">
        <v>2</v>
      </c>
      <c r="C4">
        <v>2</v>
      </c>
    </row>
    <row r="5" spans="1:24" x14ac:dyDescent="0.25">
      <c r="A5" s="18">
        <v>2</v>
      </c>
      <c r="B5">
        <v>5</v>
      </c>
      <c r="C5">
        <v>4</v>
      </c>
      <c r="D5">
        <v>48</v>
      </c>
      <c r="F5">
        <v>2</v>
      </c>
      <c r="G5">
        <v>5</v>
      </c>
      <c r="H5">
        <v>4</v>
      </c>
      <c r="I5">
        <v>69</v>
      </c>
      <c r="K5">
        <v>2</v>
      </c>
      <c r="L5">
        <v>2</v>
      </c>
      <c r="M5">
        <v>4</v>
      </c>
      <c r="N5">
        <v>60</v>
      </c>
      <c r="P5">
        <v>2</v>
      </c>
      <c r="Q5">
        <v>1</v>
      </c>
      <c r="R5">
        <v>3</v>
      </c>
      <c r="S5">
        <v>57</v>
      </c>
      <c r="U5">
        <v>2</v>
      </c>
      <c r="V5">
        <v>1</v>
      </c>
      <c r="W5">
        <v>2</v>
      </c>
      <c r="X5">
        <v>33</v>
      </c>
    </row>
    <row r="6" spans="1:24" x14ac:dyDescent="0.25">
      <c r="A6" s="26" t="s">
        <v>103</v>
      </c>
      <c r="B6">
        <v>6</v>
      </c>
      <c r="C6">
        <v>5</v>
      </c>
    </row>
    <row r="7" spans="1:24" x14ac:dyDescent="0.25">
      <c r="A7" s="18">
        <v>5</v>
      </c>
      <c r="B7">
        <v>7</v>
      </c>
      <c r="C7">
        <v>6</v>
      </c>
      <c r="D7">
        <v>65</v>
      </c>
      <c r="F7">
        <v>5</v>
      </c>
      <c r="G7">
        <v>7</v>
      </c>
      <c r="H7">
        <v>5</v>
      </c>
      <c r="I7">
        <v>77</v>
      </c>
      <c r="K7">
        <v>5</v>
      </c>
      <c r="L7">
        <v>6</v>
      </c>
      <c r="M7">
        <v>5</v>
      </c>
      <c r="N7">
        <v>68</v>
      </c>
      <c r="P7">
        <v>5</v>
      </c>
      <c r="Q7">
        <v>4</v>
      </c>
      <c r="R7">
        <v>5</v>
      </c>
      <c r="S7">
        <v>65</v>
      </c>
      <c r="U7">
        <v>5</v>
      </c>
      <c r="V7">
        <v>2</v>
      </c>
      <c r="W7">
        <v>5</v>
      </c>
      <c r="X7">
        <v>38</v>
      </c>
    </row>
    <row r="8" spans="1:24" x14ac:dyDescent="0.25">
      <c r="A8" s="26" t="s">
        <v>104</v>
      </c>
      <c r="B8">
        <v>8</v>
      </c>
    </row>
    <row r="9" spans="1:24" x14ac:dyDescent="0.25">
      <c r="A9" s="18">
        <v>10</v>
      </c>
      <c r="B9">
        <v>10</v>
      </c>
      <c r="C9">
        <v>7</v>
      </c>
      <c r="D9">
        <v>89</v>
      </c>
      <c r="F9">
        <v>10</v>
      </c>
      <c r="G9">
        <v>8</v>
      </c>
      <c r="H9">
        <v>6</v>
      </c>
      <c r="I9">
        <v>84</v>
      </c>
      <c r="K9">
        <v>10</v>
      </c>
      <c r="L9">
        <v>8</v>
      </c>
      <c r="M9">
        <v>6</v>
      </c>
      <c r="N9">
        <v>83</v>
      </c>
      <c r="P9">
        <v>10</v>
      </c>
      <c r="Q9">
        <v>6</v>
      </c>
      <c r="R9">
        <v>6</v>
      </c>
      <c r="S9">
        <v>74</v>
      </c>
      <c r="U9">
        <v>10</v>
      </c>
      <c r="V9">
        <v>4</v>
      </c>
      <c r="W9">
        <v>5</v>
      </c>
      <c r="X9">
        <v>44</v>
      </c>
    </row>
    <row r="10" spans="1:24" x14ac:dyDescent="0.25">
      <c r="A10" s="26" t="s">
        <v>105</v>
      </c>
      <c r="B10">
        <v>11</v>
      </c>
    </row>
    <row r="11" spans="1:24" x14ac:dyDescent="0.25">
      <c r="A11" s="18">
        <v>25</v>
      </c>
      <c r="B11">
        <v>14</v>
      </c>
      <c r="C11">
        <v>7</v>
      </c>
      <c r="D11">
        <v>106</v>
      </c>
      <c r="F11">
        <v>25</v>
      </c>
      <c r="G11">
        <v>12</v>
      </c>
      <c r="H11">
        <v>8</v>
      </c>
      <c r="I11">
        <v>101</v>
      </c>
      <c r="K11">
        <v>25</v>
      </c>
      <c r="L11">
        <v>10</v>
      </c>
      <c r="M11">
        <v>7</v>
      </c>
      <c r="N11">
        <v>100</v>
      </c>
      <c r="P11">
        <v>25</v>
      </c>
      <c r="Q11">
        <v>8</v>
      </c>
      <c r="R11">
        <v>7</v>
      </c>
      <c r="S11">
        <v>91</v>
      </c>
      <c r="U11">
        <v>25</v>
      </c>
      <c r="V11">
        <v>6</v>
      </c>
      <c r="W11">
        <v>6</v>
      </c>
      <c r="X11">
        <v>59</v>
      </c>
    </row>
    <row r="12" spans="1:24" x14ac:dyDescent="0.25">
      <c r="A12" s="26" t="s">
        <v>106</v>
      </c>
      <c r="B12">
        <v>15</v>
      </c>
    </row>
    <row r="13" spans="1:24" x14ac:dyDescent="0.25">
      <c r="A13" s="18">
        <v>50</v>
      </c>
      <c r="B13">
        <v>16</v>
      </c>
      <c r="C13">
        <v>8</v>
      </c>
      <c r="D13">
        <v>119</v>
      </c>
      <c r="F13">
        <v>50</v>
      </c>
      <c r="G13">
        <v>16</v>
      </c>
      <c r="H13">
        <v>8</v>
      </c>
      <c r="I13">
        <v>124</v>
      </c>
      <c r="K13">
        <v>50</v>
      </c>
      <c r="L13">
        <v>14</v>
      </c>
      <c r="M13">
        <v>8</v>
      </c>
      <c r="N13">
        <v>120</v>
      </c>
      <c r="P13">
        <v>50</v>
      </c>
      <c r="Q13">
        <v>12</v>
      </c>
      <c r="R13">
        <v>8</v>
      </c>
      <c r="S13">
        <v>103</v>
      </c>
      <c r="U13">
        <v>50</v>
      </c>
      <c r="V13">
        <v>10</v>
      </c>
      <c r="W13">
        <v>7</v>
      </c>
      <c r="X13">
        <v>74</v>
      </c>
    </row>
    <row r="14" spans="1:24" x14ac:dyDescent="0.25">
      <c r="A14" s="18" t="s">
        <v>107</v>
      </c>
      <c r="B14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F187-C0CA-4E33-91D6-E3BD99C4883F}">
  <dimension ref="A1:C88"/>
  <sheetViews>
    <sheetView workbookViewId="0">
      <selection activeCell="B89" sqref="B89"/>
    </sheetView>
  </sheetViews>
  <sheetFormatPr defaultColWidth="8.7109375" defaultRowHeight="15" x14ac:dyDescent="0.25"/>
  <sheetData>
    <row r="1" spans="1:3" x14ac:dyDescent="0.25">
      <c r="B1" s="15"/>
      <c r="C1" s="16"/>
    </row>
    <row r="2" spans="1:3" x14ac:dyDescent="0.25">
      <c r="A2" t="s">
        <v>81</v>
      </c>
      <c r="B2" s="14">
        <v>12.84</v>
      </c>
      <c r="C2" s="14"/>
    </row>
    <row r="3" spans="1:3" x14ac:dyDescent="0.25">
      <c r="A3" t="s">
        <v>82</v>
      </c>
      <c r="B3" s="14">
        <v>14.46</v>
      </c>
      <c r="C3" s="14"/>
    </row>
    <row r="4" spans="1:3" x14ac:dyDescent="0.25">
      <c r="A4" t="s">
        <v>83</v>
      </c>
      <c r="B4" s="14">
        <v>13.48</v>
      </c>
      <c r="C4" s="14"/>
    </row>
    <row r="5" spans="1:3" x14ac:dyDescent="0.25">
      <c r="A5" t="s">
        <v>84</v>
      </c>
      <c r="B5" s="14">
        <v>13.99</v>
      </c>
      <c r="C5" s="14"/>
    </row>
    <row r="6" spans="1:3" x14ac:dyDescent="0.25">
      <c r="A6" t="s">
        <v>85</v>
      </c>
      <c r="B6" s="14">
        <v>12.1</v>
      </c>
      <c r="C6" s="14"/>
    </row>
    <row r="7" spans="1:3" x14ac:dyDescent="0.25">
      <c r="A7" t="s">
        <v>86</v>
      </c>
      <c r="B7" s="14">
        <v>15.2</v>
      </c>
      <c r="C7" s="14"/>
    </row>
    <row r="8" spans="1:3" x14ac:dyDescent="0.25">
      <c r="A8" t="s">
        <v>87</v>
      </c>
      <c r="B8" s="14">
        <v>12.97</v>
      </c>
      <c r="C8" s="14"/>
    </row>
    <row r="9" spans="1:3" x14ac:dyDescent="0.25">
      <c r="B9" s="14"/>
      <c r="C9" s="14"/>
    </row>
    <row r="10" spans="1:3" x14ac:dyDescent="0.25">
      <c r="A10" t="s">
        <v>81</v>
      </c>
      <c r="B10" s="14">
        <v>9.98</v>
      </c>
      <c r="C10" s="14"/>
    </row>
    <row r="11" spans="1:3" x14ac:dyDescent="0.25">
      <c r="A11" t="s">
        <v>82</v>
      </c>
      <c r="B11" s="14">
        <v>11.45</v>
      </c>
      <c r="C11" s="14"/>
    </row>
    <row r="12" spans="1:3" x14ac:dyDescent="0.25">
      <c r="A12" t="s">
        <v>83</v>
      </c>
      <c r="B12" s="14">
        <v>10.65</v>
      </c>
      <c r="C12" s="14"/>
    </row>
    <row r="13" spans="1:3" x14ac:dyDescent="0.25">
      <c r="A13" t="s">
        <v>84</v>
      </c>
      <c r="B13" s="14">
        <v>11.9</v>
      </c>
      <c r="C13" s="14"/>
    </row>
    <row r="14" spans="1:3" x14ac:dyDescent="0.25">
      <c r="A14" t="s">
        <v>85</v>
      </c>
      <c r="B14" s="14">
        <v>10.78</v>
      </c>
      <c r="C14" s="14"/>
    </row>
    <row r="15" spans="1:3" x14ac:dyDescent="0.25">
      <c r="A15" t="s">
        <v>86</v>
      </c>
      <c r="B15" s="14">
        <v>11.78</v>
      </c>
      <c r="C15" s="14"/>
    </row>
    <row r="16" spans="1:3" x14ac:dyDescent="0.25">
      <c r="A16" t="s">
        <v>87</v>
      </c>
      <c r="B16" s="14">
        <v>11.13</v>
      </c>
    </row>
    <row r="18" spans="1:2" x14ac:dyDescent="0.25">
      <c r="A18" t="s">
        <v>81</v>
      </c>
      <c r="B18" s="14">
        <v>10.119999999999999</v>
      </c>
    </row>
    <row r="19" spans="1:2" x14ac:dyDescent="0.25">
      <c r="A19" t="s">
        <v>82</v>
      </c>
      <c r="B19" s="14">
        <v>12.22</v>
      </c>
    </row>
    <row r="20" spans="1:2" x14ac:dyDescent="0.25">
      <c r="A20" t="s">
        <v>83</v>
      </c>
      <c r="B20" s="14">
        <v>11.28</v>
      </c>
    </row>
    <row r="21" spans="1:2" x14ac:dyDescent="0.25">
      <c r="A21" t="s">
        <v>84</v>
      </c>
      <c r="B21" s="14">
        <v>12.83</v>
      </c>
    </row>
    <row r="22" spans="1:2" x14ac:dyDescent="0.25">
      <c r="A22" t="s">
        <v>85</v>
      </c>
      <c r="B22" s="14">
        <v>10.52</v>
      </c>
    </row>
    <row r="23" spans="1:2" x14ac:dyDescent="0.25">
      <c r="A23" t="s">
        <v>86</v>
      </c>
      <c r="B23" s="14">
        <v>13.45</v>
      </c>
    </row>
    <row r="24" spans="1:2" x14ac:dyDescent="0.25">
      <c r="A24" t="s">
        <v>87</v>
      </c>
      <c r="B24" s="14">
        <v>11.93</v>
      </c>
    </row>
    <row r="26" spans="1:2" x14ac:dyDescent="0.25">
      <c r="A26" t="s">
        <v>81</v>
      </c>
      <c r="B26" s="14">
        <v>8.6999999999999993</v>
      </c>
    </row>
    <row r="27" spans="1:2" x14ac:dyDescent="0.25">
      <c r="A27" t="s">
        <v>82</v>
      </c>
      <c r="B27" s="14">
        <v>10.199999999999999</v>
      </c>
    </row>
    <row r="28" spans="1:2" x14ac:dyDescent="0.25">
      <c r="A28" t="s">
        <v>83</v>
      </c>
      <c r="B28" s="14">
        <v>10.57</v>
      </c>
    </row>
    <row r="29" spans="1:2" x14ac:dyDescent="0.25">
      <c r="A29" t="s">
        <v>84</v>
      </c>
      <c r="B29" s="14">
        <v>10.62</v>
      </c>
    </row>
    <row r="30" spans="1:2" x14ac:dyDescent="0.25">
      <c r="A30" t="s">
        <v>85</v>
      </c>
      <c r="B30" s="14">
        <v>9.51</v>
      </c>
    </row>
    <row r="31" spans="1:2" x14ac:dyDescent="0.25">
      <c r="A31" t="s">
        <v>86</v>
      </c>
      <c r="B31" s="14">
        <v>11.58</v>
      </c>
    </row>
    <row r="32" spans="1:2" x14ac:dyDescent="0.25">
      <c r="A32" t="s">
        <v>87</v>
      </c>
      <c r="B32" s="14">
        <v>10.98</v>
      </c>
    </row>
    <row r="34" spans="1:2" x14ac:dyDescent="0.25">
      <c r="A34" t="s">
        <v>81</v>
      </c>
      <c r="B34" s="14">
        <v>11.37</v>
      </c>
    </row>
    <row r="35" spans="1:2" x14ac:dyDescent="0.25">
      <c r="A35" t="s">
        <v>82</v>
      </c>
      <c r="B35" s="14">
        <v>12.49</v>
      </c>
    </row>
    <row r="36" spans="1:2" x14ac:dyDescent="0.25">
      <c r="A36" t="s">
        <v>83</v>
      </c>
      <c r="B36" s="14">
        <v>10.99</v>
      </c>
    </row>
    <row r="37" spans="1:2" x14ac:dyDescent="0.25">
      <c r="A37" t="s">
        <v>84</v>
      </c>
      <c r="B37" s="14">
        <v>12.67</v>
      </c>
    </row>
    <row r="38" spans="1:2" x14ac:dyDescent="0.25">
      <c r="A38" t="s">
        <v>85</v>
      </c>
      <c r="B38" s="14">
        <v>10.49</v>
      </c>
    </row>
    <row r="39" spans="1:2" x14ac:dyDescent="0.25">
      <c r="A39" t="s">
        <v>86</v>
      </c>
      <c r="B39" s="14">
        <v>13.09</v>
      </c>
    </row>
    <row r="40" spans="1:2" x14ac:dyDescent="0.25">
      <c r="A40" t="s">
        <v>87</v>
      </c>
      <c r="B40" s="14">
        <v>11.19</v>
      </c>
    </row>
    <row r="42" spans="1:2" x14ac:dyDescent="0.25">
      <c r="A42" t="s">
        <v>81</v>
      </c>
      <c r="B42" s="14">
        <v>9.01</v>
      </c>
    </row>
    <row r="43" spans="1:2" x14ac:dyDescent="0.25">
      <c r="A43" t="s">
        <v>82</v>
      </c>
      <c r="B43" s="14">
        <v>10.41</v>
      </c>
    </row>
    <row r="44" spans="1:2" x14ac:dyDescent="0.25">
      <c r="A44" t="s">
        <v>83</v>
      </c>
      <c r="B44" s="14">
        <v>11.05</v>
      </c>
    </row>
    <row r="45" spans="1:2" x14ac:dyDescent="0.25">
      <c r="A45" t="s">
        <v>84</v>
      </c>
      <c r="B45" s="14">
        <v>10.91</v>
      </c>
    </row>
    <row r="46" spans="1:2" x14ac:dyDescent="0.25">
      <c r="A46" t="s">
        <v>85</v>
      </c>
      <c r="B46" s="14">
        <v>9.75</v>
      </c>
    </row>
    <row r="47" spans="1:2" x14ac:dyDescent="0.25">
      <c r="A47" t="s">
        <v>86</v>
      </c>
      <c r="B47" s="14">
        <v>12.08</v>
      </c>
    </row>
    <row r="48" spans="1:2" x14ac:dyDescent="0.25">
      <c r="A48" t="s">
        <v>87</v>
      </c>
      <c r="B48" s="14">
        <v>11.52</v>
      </c>
    </row>
    <row r="50" spans="1:2" x14ac:dyDescent="0.25">
      <c r="A50" t="s">
        <v>81</v>
      </c>
      <c r="B50" s="14">
        <v>9.91</v>
      </c>
    </row>
    <row r="51" spans="1:2" x14ac:dyDescent="0.25">
      <c r="A51" t="s">
        <v>82</v>
      </c>
      <c r="B51" s="14">
        <v>10.77</v>
      </c>
    </row>
    <row r="52" spans="1:2" x14ac:dyDescent="0.25">
      <c r="A52" t="s">
        <v>83</v>
      </c>
      <c r="B52" s="14">
        <v>11.01</v>
      </c>
    </row>
    <row r="53" spans="1:2" x14ac:dyDescent="0.25">
      <c r="A53" t="s">
        <v>84</v>
      </c>
      <c r="B53" s="14">
        <v>14.23</v>
      </c>
    </row>
    <row r="54" spans="1:2" x14ac:dyDescent="0.25">
      <c r="A54" t="s">
        <v>85</v>
      </c>
      <c r="B54" s="14">
        <v>13.5</v>
      </c>
    </row>
    <row r="55" spans="1:2" x14ac:dyDescent="0.25">
      <c r="A55" t="s">
        <v>86</v>
      </c>
      <c r="B55" s="14">
        <v>11.89</v>
      </c>
    </row>
    <row r="56" spans="1:2" x14ac:dyDescent="0.25">
      <c r="A56" t="s">
        <v>87</v>
      </c>
      <c r="B56" s="14">
        <v>14.41</v>
      </c>
    </row>
    <row r="58" spans="1:2" x14ac:dyDescent="0.25">
      <c r="A58" t="s">
        <v>81</v>
      </c>
      <c r="B58" s="14">
        <v>10.48</v>
      </c>
    </row>
    <row r="59" spans="1:2" x14ac:dyDescent="0.25">
      <c r="A59" t="s">
        <v>82</v>
      </c>
      <c r="B59" s="14">
        <v>11.7</v>
      </c>
    </row>
    <row r="60" spans="1:2" x14ac:dyDescent="0.25">
      <c r="A60" t="s">
        <v>83</v>
      </c>
      <c r="B60" s="14">
        <v>12.68</v>
      </c>
    </row>
    <row r="61" spans="1:2" x14ac:dyDescent="0.25">
      <c r="A61" t="s">
        <v>84</v>
      </c>
      <c r="B61" s="14">
        <v>14.12</v>
      </c>
    </row>
    <row r="62" spans="1:2" x14ac:dyDescent="0.25">
      <c r="A62" t="s">
        <v>85</v>
      </c>
      <c r="B62" s="14">
        <v>13.83</v>
      </c>
    </row>
    <row r="63" spans="1:2" x14ac:dyDescent="0.25">
      <c r="A63" t="s">
        <v>86</v>
      </c>
      <c r="B63" s="14">
        <v>12.99</v>
      </c>
    </row>
    <row r="64" spans="1:2" x14ac:dyDescent="0.25">
      <c r="A64" t="s">
        <v>87</v>
      </c>
      <c r="B64" s="14">
        <v>14.94</v>
      </c>
    </row>
    <row r="66" spans="1:2" x14ac:dyDescent="0.25">
      <c r="A66" t="s">
        <v>81</v>
      </c>
      <c r="B66" s="14">
        <v>11.36</v>
      </c>
    </row>
    <row r="67" spans="1:2" x14ac:dyDescent="0.25">
      <c r="A67" t="s">
        <v>82</v>
      </c>
      <c r="B67" s="14">
        <v>13.02</v>
      </c>
    </row>
    <row r="68" spans="1:2" x14ac:dyDescent="0.25">
      <c r="A68" t="s">
        <v>83</v>
      </c>
      <c r="B68" s="14">
        <v>13.19</v>
      </c>
    </row>
    <row r="69" spans="1:2" x14ac:dyDescent="0.25">
      <c r="A69" t="s">
        <v>84</v>
      </c>
      <c r="B69" s="14">
        <v>12.16</v>
      </c>
    </row>
    <row r="70" spans="1:2" x14ac:dyDescent="0.25">
      <c r="A70" t="s">
        <v>85</v>
      </c>
      <c r="B70" s="14">
        <v>11.11</v>
      </c>
    </row>
    <row r="71" spans="1:2" x14ac:dyDescent="0.25">
      <c r="A71" t="s">
        <v>86</v>
      </c>
      <c r="B71" s="14">
        <v>14.09</v>
      </c>
    </row>
    <row r="72" spans="1:2" x14ac:dyDescent="0.25">
      <c r="A72" t="s">
        <v>87</v>
      </c>
      <c r="B72" s="14">
        <v>12.34</v>
      </c>
    </row>
    <row r="74" spans="1:2" x14ac:dyDescent="0.25">
      <c r="A74" t="s">
        <v>81</v>
      </c>
      <c r="B74" s="14">
        <v>10.02</v>
      </c>
    </row>
    <row r="75" spans="1:2" x14ac:dyDescent="0.25">
      <c r="A75" t="s">
        <v>82</v>
      </c>
      <c r="B75" s="14">
        <v>12.3</v>
      </c>
    </row>
    <row r="76" spans="1:2" x14ac:dyDescent="0.25">
      <c r="A76" t="s">
        <v>83</v>
      </c>
      <c r="B76" s="14">
        <v>13.53</v>
      </c>
    </row>
    <row r="77" spans="1:2" x14ac:dyDescent="0.25">
      <c r="A77" t="s">
        <v>84</v>
      </c>
      <c r="B77" s="14">
        <v>11.95</v>
      </c>
    </row>
    <row r="78" spans="1:2" x14ac:dyDescent="0.25">
      <c r="A78" t="s">
        <v>85</v>
      </c>
      <c r="B78" s="14">
        <v>10.48</v>
      </c>
    </row>
    <row r="79" spans="1:2" x14ac:dyDescent="0.25">
      <c r="A79" t="s">
        <v>86</v>
      </c>
      <c r="B79" s="14">
        <v>14.69</v>
      </c>
    </row>
    <row r="80" spans="1:2" x14ac:dyDescent="0.25">
      <c r="A80" t="s">
        <v>87</v>
      </c>
      <c r="B80" s="14">
        <v>13.2</v>
      </c>
    </row>
    <row r="82" spans="1:2" x14ac:dyDescent="0.25">
      <c r="A82" t="s">
        <v>81</v>
      </c>
      <c r="B82" s="14">
        <v>10.35</v>
      </c>
    </row>
    <row r="83" spans="1:2" x14ac:dyDescent="0.25">
      <c r="A83" t="s">
        <v>82</v>
      </c>
      <c r="B83" s="14">
        <v>11.4</v>
      </c>
    </row>
    <row r="84" spans="1:2" x14ac:dyDescent="0.25">
      <c r="A84" t="s">
        <v>83</v>
      </c>
      <c r="B84" s="14">
        <v>12.84</v>
      </c>
    </row>
    <row r="85" spans="1:2" x14ac:dyDescent="0.25">
      <c r="A85" t="s">
        <v>84</v>
      </c>
      <c r="B85" s="14">
        <v>11.74</v>
      </c>
    </row>
    <row r="86" spans="1:2" x14ac:dyDescent="0.25">
      <c r="A86" t="s">
        <v>85</v>
      </c>
      <c r="B86" s="14">
        <v>10.19</v>
      </c>
    </row>
    <row r="87" spans="1:2" x14ac:dyDescent="0.25">
      <c r="A87" t="s">
        <v>86</v>
      </c>
      <c r="B87" s="14">
        <v>14.1</v>
      </c>
    </row>
    <row r="88" spans="1:2" x14ac:dyDescent="0.25">
      <c r="A88" t="s">
        <v>87</v>
      </c>
      <c r="B88" s="14">
        <v>13.14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D8DA-42BA-4839-9B6B-D37A3C6D3A18}">
  <dimension ref="A1:H42"/>
  <sheetViews>
    <sheetView workbookViewId="0">
      <selection activeCell="A3" sqref="A3"/>
    </sheetView>
  </sheetViews>
  <sheetFormatPr defaultColWidth="8.7109375" defaultRowHeight="15" x14ac:dyDescent="0.25"/>
  <sheetData>
    <row r="1" spans="1:8" x14ac:dyDescent="0.25"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25">
      <c r="A2">
        <v>40</v>
      </c>
      <c r="B2">
        <v>0.1</v>
      </c>
      <c r="C2">
        <v>0.1</v>
      </c>
      <c r="D2">
        <v>0.4</v>
      </c>
      <c r="E2">
        <v>0.8</v>
      </c>
      <c r="F2">
        <v>1.4</v>
      </c>
      <c r="G2">
        <v>0.3</v>
      </c>
      <c r="H2">
        <v>0.8</v>
      </c>
    </row>
    <row r="3" spans="1:8" x14ac:dyDescent="0.25">
      <c r="A3">
        <v>39</v>
      </c>
      <c r="B3">
        <v>0.2</v>
      </c>
      <c r="C3">
        <v>0.1</v>
      </c>
      <c r="D3">
        <v>0.8</v>
      </c>
      <c r="E3">
        <v>0.8</v>
      </c>
      <c r="F3">
        <v>1.6</v>
      </c>
      <c r="G3">
        <v>0.3</v>
      </c>
      <c r="H3">
        <v>0.9</v>
      </c>
    </row>
    <row r="4" spans="1:8" x14ac:dyDescent="0.25">
      <c r="A4">
        <v>38</v>
      </c>
      <c r="B4">
        <v>0.2</v>
      </c>
      <c r="C4">
        <v>0.1</v>
      </c>
      <c r="D4">
        <v>0.9</v>
      </c>
      <c r="E4">
        <v>0.9</v>
      </c>
      <c r="F4">
        <v>1.7</v>
      </c>
      <c r="G4">
        <v>0.4</v>
      </c>
      <c r="H4">
        <v>1.2</v>
      </c>
    </row>
    <row r="5" spans="1:8" x14ac:dyDescent="0.25">
      <c r="A5">
        <v>37</v>
      </c>
      <c r="B5">
        <v>0.3</v>
      </c>
      <c r="C5">
        <v>0.7</v>
      </c>
      <c r="D5">
        <v>1</v>
      </c>
      <c r="E5">
        <v>1.4</v>
      </c>
      <c r="F5">
        <v>1.8</v>
      </c>
      <c r="G5">
        <v>0.8</v>
      </c>
      <c r="H5">
        <v>1.3</v>
      </c>
    </row>
    <row r="6" spans="1:8" x14ac:dyDescent="0.25">
      <c r="A6">
        <v>36</v>
      </c>
      <c r="B6">
        <v>0.4</v>
      </c>
      <c r="C6">
        <v>0.9</v>
      </c>
      <c r="D6">
        <v>1.2</v>
      </c>
      <c r="E6">
        <v>1.8</v>
      </c>
      <c r="F6">
        <v>2</v>
      </c>
      <c r="G6">
        <v>1</v>
      </c>
      <c r="H6">
        <v>1.4</v>
      </c>
    </row>
    <row r="7" spans="1:8" x14ac:dyDescent="0.25">
      <c r="A7">
        <v>35</v>
      </c>
      <c r="B7">
        <v>0.5</v>
      </c>
      <c r="C7">
        <v>1.3</v>
      </c>
      <c r="D7">
        <v>1.4</v>
      </c>
      <c r="E7">
        <v>2.1</v>
      </c>
      <c r="F7">
        <v>2.2000000000000002</v>
      </c>
      <c r="G7">
        <v>1.6</v>
      </c>
      <c r="H7">
        <v>2</v>
      </c>
    </row>
    <row r="8" spans="1:8" x14ac:dyDescent="0.25">
      <c r="A8">
        <v>34</v>
      </c>
      <c r="B8">
        <v>0.8</v>
      </c>
      <c r="C8">
        <v>1.6</v>
      </c>
      <c r="D8">
        <v>1.5</v>
      </c>
      <c r="E8">
        <v>2.5</v>
      </c>
      <c r="F8">
        <v>2.6</v>
      </c>
      <c r="G8">
        <v>1.6</v>
      </c>
      <c r="H8">
        <v>2.2000000000000002</v>
      </c>
    </row>
    <row r="9" spans="1:8" x14ac:dyDescent="0.25">
      <c r="A9">
        <v>33</v>
      </c>
      <c r="B9">
        <v>1.4</v>
      </c>
      <c r="C9">
        <v>2</v>
      </c>
      <c r="D9">
        <v>1.6</v>
      </c>
      <c r="E9">
        <v>2.9</v>
      </c>
      <c r="F9">
        <v>3.4</v>
      </c>
      <c r="G9">
        <v>1.7</v>
      </c>
      <c r="H9">
        <v>2.6</v>
      </c>
    </row>
    <row r="10" spans="1:8" x14ac:dyDescent="0.25">
      <c r="A10">
        <v>32</v>
      </c>
      <c r="B10">
        <v>1.6</v>
      </c>
      <c r="C10">
        <v>2.2000000000000002</v>
      </c>
      <c r="D10">
        <v>2</v>
      </c>
      <c r="E10">
        <v>3.5</v>
      </c>
      <c r="F10">
        <v>4.3</v>
      </c>
      <c r="G10">
        <v>2.2999999999999998</v>
      </c>
      <c r="H10">
        <v>3.1</v>
      </c>
    </row>
    <row r="11" spans="1:8" x14ac:dyDescent="0.25">
      <c r="A11">
        <v>31</v>
      </c>
      <c r="B11">
        <v>1.7</v>
      </c>
      <c r="C11">
        <v>3.1</v>
      </c>
      <c r="D11">
        <v>2.2000000000000002</v>
      </c>
      <c r="E11">
        <v>3.8</v>
      </c>
      <c r="F11">
        <v>4.5999999999999996</v>
      </c>
      <c r="G11">
        <v>3.3</v>
      </c>
      <c r="H11">
        <v>3.7</v>
      </c>
    </row>
    <row r="12" spans="1:8" x14ac:dyDescent="0.25">
      <c r="A12">
        <v>30</v>
      </c>
      <c r="B12">
        <v>1.8</v>
      </c>
      <c r="C12">
        <v>3.5</v>
      </c>
      <c r="D12">
        <v>2.6</v>
      </c>
      <c r="E12">
        <v>4.2</v>
      </c>
      <c r="F12">
        <v>5.0999999999999996</v>
      </c>
      <c r="G12">
        <v>3.6</v>
      </c>
      <c r="H12">
        <v>4.7</v>
      </c>
    </row>
    <row r="13" spans="1:8" x14ac:dyDescent="0.25">
      <c r="A13">
        <v>29</v>
      </c>
      <c r="B13">
        <v>2.2999999999999998</v>
      </c>
      <c r="C13">
        <v>4.9000000000000004</v>
      </c>
      <c r="D13">
        <v>3.7</v>
      </c>
      <c r="E13">
        <v>5.5</v>
      </c>
      <c r="F13">
        <v>7.4</v>
      </c>
      <c r="G13">
        <v>4.3</v>
      </c>
      <c r="H13">
        <v>5.4</v>
      </c>
    </row>
    <row r="14" spans="1:8" x14ac:dyDescent="0.25">
      <c r="A14">
        <v>28</v>
      </c>
      <c r="B14">
        <v>2.5</v>
      </c>
      <c r="C14">
        <v>5.2</v>
      </c>
      <c r="D14">
        <v>5</v>
      </c>
      <c r="E14">
        <v>5.9</v>
      </c>
      <c r="F14">
        <v>8.6</v>
      </c>
      <c r="G14">
        <v>4.4000000000000004</v>
      </c>
      <c r="H14">
        <v>6.3</v>
      </c>
    </row>
    <row r="15" spans="1:8" x14ac:dyDescent="0.25">
      <c r="A15">
        <v>27</v>
      </c>
      <c r="B15">
        <v>3.1</v>
      </c>
      <c r="C15">
        <v>6</v>
      </c>
      <c r="D15">
        <v>5.6</v>
      </c>
      <c r="E15">
        <v>7.9</v>
      </c>
      <c r="F15">
        <v>10.7</v>
      </c>
      <c r="G15">
        <v>5.6</v>
      </c>
      <c r="H15">
        <v>7.2</v>
      </c>
    </row>
    <row r="16" spans="1:8" x14ac:dyDescent="0.25">
      <c r="A16">
        <v>26</v>
      </c>
      <c r="B16">
        <v>4</v>
      </c>
      <c r="C16">
        <v>6.8</v>
      </c>
      <c r="D16">
        <v>6.8</v>
      </c>
      <c r="E16">
        <v>8.6</v>
      </c>
      <c r="F16">
        <v>12</v>
      </c>
      <c r="G16">
        <v>6.5</v>
      </c>
      <c r="H16">
        <v>8.6</v>
      </c>
    </row>
    <row r="17" spans="1:8" x14ac:dyDescent="0.25">
      <c r="A17">
        <v>25</v>
      </c>
      <c r="B17">
        <v>5</v>
      </c>
      <c r="C17">
        <v>7.4</v>
      </c>
      <c r="D17">
        <v>7.4</v>
      </c>
      <c r="E17">
        <v>9</v>
      </c>
      <c r="F17">
        <v>13</v>
      </c>
      <c r="G17">
        <v>7.7</v>
      </c>
      <c r="H17">
        <v>10.199999999999999</v>
      </c>
    </row>
    <row r="18" spans="1:8" x14ac:dyDescent="0.25">
      <c r="A18">
        <v>24</v>
      </c>
      <c r="B18">
        <v>5.7</v>
      </c>
      <c r="C18">
        <v>7.9</v>
      </c>
      <c r="D18">
        <v>8.6999999999999993</v>
      </c>
      <c r="E18">
        <v>10.7</v>
      </c>
      <c r="F18">
        <v>14.1</v>
      </c>
      <c r="G18">
        <v>7.9</v>
      </c>
      <c r="H18">
        <v>12</v>
      </c>
    </row>
    <row r="19" spans="1:8" x14ac:dyDescent="0.25">
      <c r="A19">
        <v>23</v>
      </c>
      <c r="B19">
        <v>7.2</v>
      </c>
      <c r="C19">
        <v>9.1</v>
      </c>
      <c r="D19">
        <v>9.3000000000000007</v>
      </c>
      <c r="E19">
        <v>12.6</v>
      </c>
      <c r="F19">
        <v>15</v>
      </c>
      <c r="G19">
        <v>9.1999999999999993</v>
      </c>
      <c r="H19">
        <v>13.2</v>
      </c>
    </row>
    <row r="20" spans="1:8" x14ac:dyDescent="0.25">
      <c r="A20">
        <v>22</v>
      </c>
      <c r="B20">
        <v>8.4</v>
      </c>
      <c r="C20">
        <v>10.4</v>
      </c>
      <c r="D20">
        <v>11.7</v>
      </c>
      <c r="E20">
        <v>13.5</v>
      </c>
      <c r="F20">
        <v>17.2</v>
      </c>
      <c r="G20">
        <v>10.8</v>
      </c>
      <c r="H20">
        <v>15.3</v>
      </c>
    </row>
    <row r="21" spans="1:8" x14ac:dyDescent="0.25">
      <c r="A21">
        <v>21</v>
      </c>
      <c r="B21">
        <v>10.4</v>
      </c>
      <c r="C21">
        <v>11.7</v>
      </c>
      <c r="D21">
        <v>12.8</v>
      </c>
      <c r="E21">
        <v>15</v>
      </c>
      <c r="F21">
        <v>19.399999999999999</v>
      </c>
      <c r="G21">
        <v>12.9</v>
      </c>
      <c r="H21">
        <v>17.100000000000001</v>
      </c>
    </row>
    <row r="22" spans="1:8" x14ac:dyDescent="0.25">
      <c r="A22">
        <v>20</v>
      </c>
      <c r="B22">
        <v>12.1</v>
      </c>
      <c r="C22">
        <v>14.3</v>
      </c>
      <c r="D22">
        <v>14.1</v>
      </c>
      <c r="E22">
        <v>17.7</v>
      </c>
      <c r="F22">
        <v>21.6</v>
      </c>
      <c r="G22">
        <v>14.1</v>
      </c>
      <c r="H22">
        <v>18.8</v>
      </c>
    </row>
    <row r="23" spans="1:8" x14ac:dyDescent="0.25">
      <c r="A23">
        <v>19</v>
      </c>
      <c r="B23">
        <v>14</v>
      </c>
      <c r="C23">
        <v>16.3</v>
      </c>
      <c r="D23">
        <v>15.4</v>
      </c>
      <c r="E23">
        <v>19.8</v>
      </c>
      <c r="F23">
        <v>23.6</v>
      </c>
      <c r="G23">
        <v>16.7</v>
      </c>
      <c r="H23">
        <v>21.1</v>
      </c>
    </row>
    <row r="24" spans="1:8" x14ac:dyDescent="0.25">
      <c r="A24">
        <v>18</v>
      </c>
      <c r="B24">
        <v>15.3</v>
      </c>
      <c r="C24">
        <v>19.399999999999999</v>
      </c>
      <c r="D24">
        <v>19.2</v>
      </c>
      <c r="E24">
        <v>22.3</v>
      </c>
      <c r="F24">
        <v>25.9</v>
      </c>
      <c r="G24">
        <v>19</v>
      </c>
      <c r="H24">
        <v>23.8</v>
      </c>
    </row>
    <row r="25" spans="1:8" x14ac:dyDescent="0.25">
      <c r="A25">
        <v>17</v>
      </c>
      <c r="B25">
        <v>17.399999999999999</v>
      </c>
      <c r="C25">
        <v>22.1</v>
      </c>
      <c r="D25">
        <v>20.2</v>
      </c>
      <c r="E25">
        <v>25.5</v>
      </c>
      <c r="F25">
        <v>29.7</v>
      </c>
      <c r="G25">
        <v>22.5</v>
      </c>
      <c r="H25">
        <v>27.2</v>
      </c>
    </row>
    <row r="26" spans="1:8" x14ac:dyDescent="0.25">
      <c r="A26">
        <v>16</v>
      </c>
      <c r="B26">
        <v>18.5</v>
      </c>
      <c r="C26">
        <v>24.8</v>
      </c>
      <c r="D26">
        <v>23.9</v>
      </c>
      <c r="E26">
        <v>28.5</v>
      </c>
      <c r="F26">
        <v>32.1</v>
      </c>
      <c r="G26">
        <v>25.7</v>
      </c>
      <c r="H26">
        <v>29.6</v>
      </c>
    </row>
    <row r="27" spans="1:8" x14ac:dyDescent="0.25">
      <c r="A27">
        <v>15</v>
      </c>
      <c r="B27">
        <v>21.4</v>
      </c>
      <c r="C27">
        <v>26.8</v>
      </c>
      <c r="D27">
        <v>26.7</v>
      </c>
      <c r="E27">
        <v>30.9</v>
      </c>
      <c r="F27">
        <v>35.5</v>
      </c>
      <c r="G27">
        <v>29.8</v>
      </c>
      <c r="H27">
        <v>33.299999999999997</v>
      </c>
    </row>
    <row r="28" spans="1:8" x14ac:dyDescent="0.25">
      <c r="A28">
        <v>14</v>
      </c>
      <c r="B28">
        <v>25.5</v>
      </c>
      <c r="C28">
        <v>31.5</v>
      </c>
      <c r="D28">
        <v>31.7</v>
      </c>
      <c r="E28">
        <v>34.200000000000003</v>
      </c>
      <c r="F28">
        <v>38.5</v>
      </c>
      <c r="G28">
        <v>31.8</v>
      </c>
      <c r="H28">
        <v>36.4</v>
      </c>
    </row>
    <row r="29" spans="1:8" x14ac:dyDescent="0.25">
      <c r="A29">
        <v>13</v>
      </c>
      <c r="B29">
        <v>28.7</v>
      </c>
      <c r="C29">
        <v>33.700000000000003</v>
      </c>
      <c r="D29">
        <v>35.1</v>
      </c>
      <c r="E29">
        <v>37.5</v>
      </c>
      <c r="F29">
        <v>42</v>
      </c>
      <c r="G29">
        <v>34.200000000000003</v>
      </c>
      <c r="H29">
        <v>38.9</v>
      </c>
    </row>
    <row r="30" spans="1:8" x14ac:dyDescent="0.25">
      <c r="A30">
        <v>12</v>
      </c>
      <c r="B30">
        <v>31.5</v>
      </c>
      <c r="C30">
        <v>39.299999999999997</v>
      </c>
      <c r="D30">
        <v>38.5</v>
      </c>
      <c r="E30">
        <v>41.5</v>
      </c>
      <c r="F30">
        <v>45.2</v>
      </c>
      <c r="G30">
        <v>39.5</v>
      </c>
      <c r="H30">
        <v>42.8</v>
      </c>
    </row>
    <row r="31" spans="1:8" x14ac:dyDescent="0.25">
      <c r="A31">
        <v>11</v>
      </c>
      <c r="B31">
        <v>35</v>
      </c>
      <c r="C31">
        <v>42.8</v>
      </c>
      <c r="D31">
        <v>41.5</v>
      </c>
      <c r="E31">
        <v>46.4</v>
      </c>
      <c r="F31">
        <v>48</v>
      </c>
      <c r="G31">
        <v>43</v>
      </c>
      <c r="H31">
        <v>47</v>
      </c>
    </row>
    <row r="32" spans="1:8" x14ac:dyDescent="0.25">
      <c r="A32">
        <v>10</v>
      </c>
      <c r="B32">
        <v>40.299999999999997</v>
      </c>
      <c r="C32">
        <v>48.8</v>
      </c>
      <c r="D32">
        <v>46.7</v>
      </c>
      <c r="E32">
        <v>49.9</v>
      </c>
      <c r="F32">
        <v>52</v>
      </c>
      <c r="G32">
        <v>47.8</v>
      </c>
      <c r="H32">
        <v>50.8</v>
      </c>
    </row>
    <row r="33" spans="1:8" x14ac:dyDescent="0.25">
      <c r="A33">
        <v>9</v>
      </c>
      <c r="B33">
        <v>44.8</v>
      </c>
      <c r="C33">
        <v>53.2</v>
      </c>
      <c r="D33">
        <v>50.2</v>
      </c>
      <c r="E33">
        <v>53.5</v>
      </c>
      <c r="F33">
        <v>57.4</v>
      </c>
      <c r="G33">
        <v>52</v>
      </c>
      <c r="H33">
        <v>55.9</v>
      </c>
    </row>
    <row r="34" spans="1:8" x14ac:dyDescent="0.25">
      <c r="A34">
        <v>8</v>
      </c>
      <c r="B34">
        <v>49.2</v>
      </c>
      <c r="C34">
        <v>57.9</v>
      </c>
      <c r="D34">
        <v>56.5</v>
      </c>
      <c r="E34">
        <v>60.2</v>
      </c>
      <c r="F34">
        <v>63.4</v>
      </c>
      <c r="G34">
        <v>56.5</v>
      </c>
      <c r="H34">
        <v>60.6</v>
      </c>
    </row>
    <row r="35" spans="1:8" x14ac:dyDescent="0.25">
      <c r="A35">
        <v>7</v>
      </c>
      <c r="B35">
        <v>55.6</v>
      </c>
      <c r="C35">
        <v>65.099999999999994</v>
      </c>
      <c r="D35">
        <v>60</v>
      </c>
      <c r="E35">
        <v>64.599999999999994</v>
      </c>
      <c r="F35">
        <v>68.099999999999994</v>
      </c>
      <c r="G35">
        <v>61.1</v>
      </c>
      <c r="H35">
        <v>64.2</v>
      </c>
    </row>
    <row r="36" spans="1:8" x14ac:dyDescent="0.25">
      <c r="A36">
        <v>6</v>
      </c>
      <c r="B36">
        <v>61.2</v>
      </c>
      <c r="C36">
        <v>69.400000000000006</v>
      </c>
      <c r="D36">
        <v>67.900000000000006</v>
      </c>
      <c r="E36">
        <v>69.7</v>
      </c>
      <c r="F36">
        <v>71.3</v>
      </c>
      <c r="G36">
        <v>67.3</v>
      </c>
      <c r="H36">
        <v>70.400000000000006</v>
      </c>
    </row>
    <row r="37" spans="1:8" x14ac:dyDescent="0.25">
      <c r="A37">
        <v>5</v>
      </c>
      <c r="B37">
        <v>67.8</v>
      </c>
      <c r="C37">
        <v>75.7</v>
      </c>
      <c r="D37">
        <v>72</v>
      </c>
      <c r="E37">
        <v>74.5</v>
      </c>
      <c r="F37">
        <v>76.8</v>
      </c>
      <c r="G37">
        <v>72.400000000000006</v>
      </c>
      <c r="H37">
        <v>73.400000000000006</v>
      </c>
    </row>
    <row r="38" spans="1:8" x14ac:dyDescent="0.25">
      <c r="A38">
        <v>4</v>
      </c>
      <c r="B38">
        <v>73</v>
      </c>
      <c r="C38">
        <v>80.5</v>
      </c>
      <c r="D38">
        <v>79.3</v>
      </c>
      <c r="E38">
        <v>79.2</v>
      </c>
      <c r="F38">
        <v>82.3</v>
      </c>
      <c r="G38">
        <v>78.5</v>
      </c>
      <c r="H38">
        <v>78.3</v>
      </c>
    </row>
    <row r="39" spans="1:8" x14ac:dyDescent="0.25">
      <c r="A39">
        <v>3</v>
      </c>
      <c r="B39">
        <v>81.599999999999994</v>
      </c>
      <c r="C39">
        <v>85</v>
      </c>
      <c r="D39">
        <v>83.8</v>
      </c>
      <c r="E39">
        <v>85.5</v>
      </c>
      <c r="F39">
        <v>86.4</v>
      </c>
      <c r="G39">
        <v>84.5</v>
      </c>
      <c r="H39">
        <v>85.4</v>
      </c>
    </row>
    <row r="40" spans="1:8" x14ac:dyDescent="0.25">
      <c r="A40">
        <v>2</v>
      </c>
      <c r="B40">
        <v>89.4</v>
      </c>
      <c r="C40">
        <v>90.6</v>
      </c>
      <c r="D40">
        <v>92.3</v>
      </c>
      <c r="E40">
        <v>92.7</v>
      </c>
      <c r="F40">
        <v>91.7</v>
      </c>
      <c r="G40">
        <v>89.8</v>
      </c>
      <c r="H40">
        <v>89.2</v>
      </c>
    </row>
    <row r="41" spans="1:8" x14ac:dyDescent="0.25">
      <c r="A41">
        <v>1</v>
      </c>
      <c r="B41">
        <v>96</v>
      </c>
      <c r="C41">
        <v>96.6</v>
      </c>
      <c r="D41">
        <v>97</v>
      </c>
      <c r="E41">
        <v>96.5</v>
      </c>
      <c r="F41">
        <v>96.7</v>
      </c>
      <c r="G41">
        <v>97.3</v>
      </c>
      <c r="H41">
        <v>96.6</v>
      </c>
    </row>
    <row r="42" spans="1:8" x14ac:dyDescent="0.25">
      <c r="A42">
        <v>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EC04-49A7-40EA-A34D-769FB84403B4}">
  <dimension ref="A1:C15"/>
  <sheetViews>
    <sheetView workbookViewId="0">
      <selection activeCell="E1" sqref="E1"/>
    </sheetView>
  </sheetViews>
  <sheetFormatPr defaultColWidth="8.7109375" defaultRowHeight="15" x14ac:dyDescent="0.25"/>
  <sheetData>
    <row r="1" spans="1:3" x14ac:dyDescent="0.25">
      <c r="B1" s="15" t="s">
        <v>57</v>
      </c>
      <c r="C1" s="16">
        <v>14</v>
      </c>
    </row>
    <row r="2" spans="1:3" x14ac:dyDescent="0.25">
      <c r="A2" t="s">
        <v>27</v>
      </c>
      <c r="B2" s="14">
        <v>3.63</v>
      </c>
      <c r="C2" s="14">
        <v>4.09</v>
      </c>
    </row>
    <row r="3" spans="1:3" x14ac:dyDescent="0.25">
      <c r="A3" t="s">
        <v>29</v>
      </c>
      <c r="B3" s="14">
        <v>3.87</v>
      </c>
      <c r="C3" s="14">
        <v>4.3499999999999996</v>
      </c>
    </row>
    <row r="4" spans="1:3" x14ac:dyDescent="0.25">
      <c r="A4" t="s">
        <v>31</v>
      </c>
      <c r="B4" s="14">
        <v>3.84</v>
      </c>
      <c r="C4" s="14">
        <v>4.32</v>
      </c>
    </row>
    <row r="5" spans="1:3" x14ac:dyDescent="0.25">
      <c r="A5" t="s">
        <v>33</v>
      </c>
      <c r="B5" s="14">
        <v>3.87</v>
      </c>
      <c r="C5" s="14">
        <v>4.3499999999999996</v>
      </c>
    </row>
    <row r="6" spans="1:3" x14ac:dyDescent="0.25">
      <c r="A6" t="s">
        <v>34</v>
      </c>
      <c r="B6" s="14">
        <v>3.63</v>
      </c>
      <c r="C6" s="14">
        <v>4.09</v>
      </c>
    </row>
    <row r="7" spans="1:3" x14ac:dyDescent="0.25">
      <c r="A7" t="s">
        <v>36</v>
      </c>
      <c r="B7" s="14">
        <v>3.83</v>
      </c>
      <c r="C7" s="14">
        <v>4.3</v>
      </c>
    </row>
    <row r="8" spans="1:3" x14ac:dyDescent="0.25">
      <c r="A8" t="s">
        <v>53</v>
      </c>
      <c r="B8" s="14">
        <v>4</v>
      </c>
      <c r="C8" s="14">
        <v>4.49</v>
      </c>
    </row>
    <row r="9" spans="1:3" x14ac:dyDescent="0.25">
      <c r="A9" t="s">
        <v>54</v>
      </c>
      <c r="B9" s="14">
        <v>4.76</v>
      </c>
      <c r="C9" s="14">
        <v>4.5599999999999996</v>
      </c>
    </row>
    <row r="10" spans="1:3" x14ac:dyDescent="0.25">
      <c r="A10" t="s">
        <v>28</v>
      </c>
      <c r="B10" s="14">
        <v>4.3600000000000003</v>
      </c>
      <c r="C10" s="14">
        <v>4.05</v>
      </c>
    </row>
    <row r="11" spans="1:3" x14ac:dyDescent="0.25">
      <c r="A11" t="s">
        <v>30</v>
      </c>
      <c r="B11" s="14">
        <v>4.6500000000000004</v>
      </c>
      <c r="C11" s="14">
        <v>4.42</v>
      </c>
    </row>
    <row r="12" spans="1:3" x14ac:dyDescent="0.25">
      <c r="A12" t="s">
        <v>32</v>
      </c>
      <c r="B12" s="14">
        <v>4.42</v>
      </c>
      <c r="C12" s="14">
        <v>4.12</v>
      </c>
    </row>
    <row r="13" spans="1:3" x14ac:dyDescent="0.25">
      <c r="A13" t="s">
        <v>35</v>
      </c>
      <c r="B13" s="14">
        <v>5.07</v>
      </c>
      <c r="C13" s="14">
        <v>4.9400000000000004</v>
      </c>
    </row>
    <row r="14" spans="1:3" x14ac:dyDescent="0.25">
      <c r="A14" t="s">
        <v>55</v>
      </c>
      <c r="B14" s="14">
        <v>4.5199999999999996</v>
      </c>
      <c r="C14" s="14">
        <v>4.25</v>
      </c>
    </row>
    <row r="15" spans="1:3" x14ac:dyDescent="0.25">
      <c r="A15" t="s">
        <v>56</v>
      </c>
      <c r="B15" s="14">
        <v>4.8899999999999997</v>
      </c>
      <c r="C15" s="14">
        <v>4.72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E315-84F1-447B-9593-BD197CA2D439}">
  <dimension ref="A1:C50"/>
  <sheetViews>
    <sheetView workbookViewId="0">
      <selection activeCell="B35" sqref="B35"/>
    </sheetView>
  </sheetViews>
  <sheetFormatPr defaultColWidth="8.7109375" defaultRowHeight="15" x14ac:dyDescent="0.25"/>
  <sheetData>
    <row r="1" spans="1:3" x14ac:dyDescent="0.25">
      <c r="B1" s="15" t="s">
        <v>93</v>
      </c>
      <c r="C1" s="16" t="s">
        <v>94</v>
      </c>
    </row>
    <row r="2" spans="1:3" x14ac:dyDescent="0.25">
      <c r="A2">
        <v>9</v>
      </c>
      <c r="B2" s="14">
        <v>3.7</v>
      </c>
      <c r="C2" s="14">
        <v>0</v>
      </c>
    </row>
    <row r="3" spans="1:3" x14ac:dyDescent="0.25">
      <c r="A3">
        <v>8</v>
      </c>
      <c r="B3" s="14">
        <v>14</v>
      </c>
      <c r="C3" s="14">
        <v>8.4</v>
      </c>
    </row>
    <row r="4" spans="1:3" x14ac:dyDescent="0.25">
      <c r="A4">
        <v>7</v>
      </c>
      <c r="B4" s="14">
        <v>39.299999999999997</v>
      </c>
      <c r="C4" s="14">
        <v>20.6</v>
      </c>
    </row>
    <row r="5" spans="1:3" x14ac:dyDescent="0.25">
      <c r="A5">
        <v>6</v>
      </c>
      <c r="B5" s="14">
        <v>77.599999999999994</v>
      </c>
      <c r="C5" s="14">
        <v>38.299999999999997</v>
      </c>
    </row>
    <row r="6" spans="1:3" x14ac:dyDescent="0.25">
      <c r="A6">
        <v>5</v>
      </c>
      <c r="B6" s="14">
        <v>96.3</v>
      </c>
      <c r="C6" s="14">
        <v>76.599999999999994</v>
      </c>
    </row>
    <row r="7" spans="1:3" x14ac:dyDescent="0.25">
      <c r="A7">
        <v>4</v>
      </c>
      <c r="B7" s="14">
        <v>99.1</v>
      </c>
      <c r="C7" s="14">
        <v>93.5</v>
      </c>
    </row>
    <row r="8" spans="1:3" x14ac:dyDescent="0.25">
      <c r="A8">
        <v>3</v>
      </c>
      <c r="B8" s="14">
        <v>100</v>
      </c>
      <c r="C8" s="14">
        <v>99.1</v>
      </c>
    </row>
    <row r="9" spans="1:3" x14ac:dyDescent="0.25">
      <c r="A9">
        <v>2</v>
      </c>
      <c r="B9" s="14">
        <v>100</v>
      </c>
      <c r="C9" s="14">
        <v>100</v>
      </c>
    </row>
    <row r="10" spans="1:3" x14ac:dyDescent="0.25">
      <c r="A10">
        <v>0</v>
      </c>
      <c r="B10" s="14">
        <v>100</v>
      </c>
      <c r="C10" s="14">
        <v>100</v>
      </c>
    </row>
    <row r="11" spans="1:3" x14ac:dyDescent="0.25">
      <c r="B11" s="14"/>
      <c r="C11" s="14"/>
    </row>
    <row r="12" spans="1:3" x14ac:dyDescent="0.25">
      <c r="A12">
        <v>9</v>
      </c>
      <c r="B12" s="14">
        <v>3.7</v>
      </c>
      <c r="C12" s="14">
        <v>0</v>
      </c>
    </row>
    <row r="13" spans="1:3" x14ac:dyDescent="0.25">
      <c r="A13">
        <v>8</v>
      </c>
      <c r="B13" s="14">
        <v>18.5</v>
      </c>
      <c r="C13" s="14">
        <v>4.4000000000000004</v>
      </c>
    </row>
    <row r="14" spans="1:3" x14ac:dyDescent="0.25">
      <c r="A14">
        <v>7</v>
      </c>
      <c r="B14" s="14">
        <v>46.7</v>
      </c>
      <c r="C14" s="14">
        <v>17</v>
      </c>
    </row>
    <row r="15" spans="1:3" x14ac:dyDescent="0.25">
      <c r="A15">
        <v>6</v>
      </c>
      <c r="B15" s="14">
        <v>77</v>
      </c>
      <c r="C15" s="14">
        <v>37.799999999999997</v>
      </c>
    </row>
    <row r="16" spans="1:3" x14ac:dyDescent="0.25">
      <c r="A16">
        <v>5</v>
      </c>
      <c r="B16" s="14">
        <v>97</v>
      </c>
      <c r="C16" s="14">
        <v>77</v>
      </c>
    </row>
    <row r="17" spans="1:3" x14ac:dyDescent="0.25">
      <c r="A17">
        <v>4</v>
      </c>
      <c r="B17" s="14">
        <v>100</v>
      </c>
      <c r="C17" s="14">
        <v>94.8</v>
      </c>
    </row>
    <row r="18" spans="1:3" x14ac:dyDescent="0.25">
      <c r="A18">
        <v>3</v>
      </c>
      <c r="B18" s="14">
        <v>100</v>
      </c>
      <c r="C18" s="14">
        <v>100</v>
      </c>
    </row>
    <row r="19" spans="1:3" x14ac:dyDescent="0.25">
      <c r="A19">
        <v>2</v>
      </c>
      <c r="B19" s="14">
        <v>100</v>
      </c>
      <c r="C19" s="14">
        <v>100</v>
      </c>
    </row>
    <row r="20" spans="1:3" x14ac:dyDescent="0.25">
      <c r="A20">
        <v>0</v>
      </c>
      <c r="B20" s="14">
        <v>100</v>
      </c>
      <c r="C20" s="14">
        <v>100</v>
      </c>
    </row>
    <row r="21" spans="1:3" x14ac:dyDescent="0.25">
      <c r="B21" s="14"/>
      <c r="C21" s="14"/>
    </row>
    <row r="22" spans="1:3" x14ac:dyDescent="0.25">
      <c r="A22">
        <v>9</v>
      </c>
      <c r="B22" s="14">
        <v>4.0999999999999996</v>
      </c>
      <c r="C22" s="14">
        <v>0</v>
      </c>
    </row>
    <row r="23" spans="1:3" x14ac:dyDescent="0.25">
      <c r="A23">
        <v>8</v>
      </c>
      <c r="B23" s="14">
        <v>13.6</v>
      </c>
      <c r="C23" s="14">
        <v>4.0999999999999996</v>
      </c>
    </row>
    <row r="24" spans="1:3" x14ac:dyDescent="0.25">
      <c r="A24">
        <v>7</v>
      </c>
      <c r="B24" s="14">
        <v>39.799999999999997</v>
      </c>
      <c r="C24" s="14">
        <v>15.2</v>
      </c>
    </row>
    <row r="25" spans="1:3" x14ac:dyDescent="0.25">
      <c r="A25">
        <v>6</v>
      </c>
      <c r="B25" s="14">
        <v>74.3</v>
      </c>
      <c r="C25" s="14">
        <v>31.6</v>
      </c>
    </row>
    <row r="26" spans="1:3" x14ac:dyDescent="0.25">
      <c r="A26">
        <v>5</v>
      </c>
      <c r="B26" s="14">
        <v>95.3</v>
      </c>
      <c r="C26" s="14">
        <v>70.2</v>
      </c>
    </row>
    <row r="27" spans="1:3" x14ac:dyDescent="0.25">
      <c r="A27">
        <v>4</v>
      </c>
      <c r="B27" s="14">
        <v>99.4</v>
      </c>
      <c r="C27" s="14">
        <v>86.5</v>
      </c>
    </row>
    <row r="28" spans="1:3" x14ac:dyDescent="0.25">
      <c r="A28">
        <v>3</v>
      </c>
      <c r="B28" s="14">
        <v>100</v>
      </c>
      <c r="C28" s="14">
        <v>97.7</v>
      </c>
    </row>
    <row r="29" spans="1:3" x14ac:dyDescent="0.25">
      <c r="A29">
        <v>2</v>
      </c>
      <c r="B29" s="14">
        <v>100</v>
      </c>
      <c r="C29" s="14">
        <v>99.4</v>
      </c>
    </row>
    <row r="30" spans="1:3" x14ac:dyDescent="0.25">
      <c r="A30">
        <v>0</v>
      </c>
      <c r="B30" s="14">
        <v>100</v>
      </c>
      <c r="C30" s="14">
        <v>100</v>
      </c>
    </row>
    <row r="31" spans="1:3" x14ac:dyDescent="0.25">
      <c r="B31" s="14"/>
      <c r="C31" s="14"/>
    </row>
    <row r="32" spans="1:3" x14ac:dyDescent="0.25">
      <c r="A32">
        <v>9</v>
      </c>
      <c r="B32" s="14">
        <v>1.3</v>
      </c>
      <c r="C32" s="14">
        <v>0</v>
      </c>
    </row>
    <row r="33" spans="1:3" x14ac:dyDescent="0.25">
      <c r="A33">
        <v>8</v>
      </c>
      <c r="B33" s="14">
        <v>14.2</v>
      </c>
      <c r="C33" s="14">
        <v>0.6</v>
      </c>
    </row>
    <row r="34" spans="1:3" x14ac:dyDescent="0.25">
      <c r="A34">
        <v>7</v>
      </c>
      <c r="B34" s="14">
        <v>43.9</v>
      </c>
      <c r="C34" s="14">
        <v>6.5</v>
      </c>
    </row>
    <row r="35" spans="1:3" x14ac:dyDescent="0.25">
      <c r="A35">
        <v>6</v>
      </c>
      <c r="B35" s="14">
        <v>65.8</v>
      </c>
      <c r="C35" s="14">
        <v>20.6</v>
      </c>
    </row>
    <row r="36" spans="1:3" x14ac:dyDescent="0.25">
      <c r="A36">
        <v>5</v>
      </c>
      <c r="B36" s="14">
        <v>95.5</v>
      </c>
      <c r="C36" s="14">
        <v>60</v>
      </c>
    </row>
    <row r="37" spans="1:3" x14ac:dyDescent="0.25">
      <c r="A37">
        <v>4</v>
      </c>
      <c r="B37" s="14">
        <v>100</v>
      </c>
      <c r="C37" s="14">
        <v>85.8</v>
      </c>
    </row>
    <row r="38" spans="1:3" x14ac:dyDescent="0.25">
      <c r="A38">
        <v>3</v>
      </c>
      <c r="B38" s="14">
        <v>100</v>
      </c>
      <c r="C38" s="14">
        <v>97.4</v>
      </c>
    </row>
    <row r="39" spans="1:3" x14ac:dyDescent="0.25">
      <c r="A39">
        <v>2</v>
      </c>
      <c r="B39" s="14">
        <v>100</v>
      </c>
      <c r="C39" s="14">
        <v>100</v>
      </c>
    </row>
    <row r="40" spans="1:3" x14ac:dyDescent="0.25">
      <c r="A40">
        <v>0</v>
      </c>
      <c r="B40" s="14">
        <v>100</v>
      </c>
      <c r="C40" s="14">
        <v>100</v>
      </c>
    </row>
    <row r="41" spans="1:3" x14ac:dyDescent="0.25">
      <c r="B41" s="14"/>
      <c r="C41" s="14"/>
    </row>
    <row r="42" spans="1:3" x14ac:dyDescent="0.25">
      <c r="A42">
        <v>9</v>
      </c>
      <c r="B42" s="14">
        <v>2</v>
      </c>
      <c r="C42" s="14">
        <v>0</v>
      </c>
    </row>
    <row r="43" spans="1:3" x14ac:dyDescent="0.25">
      <c r="A43">
        <v>8</v>
      </c>
      <c r="B43" s="14">
        <v>22.8</v>
      </c>
      <c r="C43" s="14">
        <v>0</v>
      </c>
    </row>
    <row r="44" spans="1:3" x14ac:dyDescent="0.25">
      <c r="A44">
        <v>7</v>
      </c>
      <c r="B44" s="14">
        <v>55</v>
      </c>
      <c r="C44" s="14">
        <v>0.5</v>
      </c>
    </row>
    <row r="45" spans="1:3" x14ac:dyDescent="0.25">
      <c r="A45">
        <v>6</v>
      </c>
      <c r="B45" s="14">
        <v>85.1</v>
      </c>
      <c r="C45" s="14">
        <v>7.4</v>
      </c>
    </row>
    <row r="46" spans="1:3" x14ac:dyDescent="0.25">
      <c r="A46">
        <v>5</v>
      </c>
      <c r="B46" s="14">
        <v>98</v>
      </c>
      <c r="C46" s="14">
        <v>31.5</v>
      </c>
    </row>
    <row r="47" spans="1:3" x14ac:dyDescent="0.25">
      <c r="A47">
        <v>4</v>
      </c>
      <c r="B47" s="14">
        <v>100</v>
      </c>
      <c r="C47" s="14">
        <v>74.8</v>
      </c>
    </row>
    <row r="48" spans="1:3" x14ac:dyDescent="0.25">
      <c r="A48">
        <v>3</v>
      </c>
      <c r="B48" s="14">
        <v>100</v>
      </c>
      <c r="C48" s="14">
        <v>97</v>
      </c>
    </row>
    <row r="49" spans="1:3" x14ac:dyDescent="0.25">
      <c r="A49">
        <v>2</v>
      </c>
      <c r="B49" s="14">
        <v>100</v>
      </c>
      <c r="C49" s="14">
        <v>99.5</v>
      </c>
    </row>
    <row r="50" spans="1:3" x14ac:dyDescent="0.25">
      <c r="A50">
        <v>0</v>
      </c>
      <c r="B50" s="14">
        <v>100</v>
      </c>
      <c r="C50" s="14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B509-085C-47FA-98D2-FC4B48F91669}">
  <dimension ref="A1:B64"/>
  <sheetViews>
    <sheetView workbookViewId="0">
      <selection activeCell="E65" sqref="E65"/>
    </sheetView>
  </sheetViews>
  <sheetFormatPr defaultRowHeight="15" x14ac:dyDescent="0.25"/>
  <sheetData>
    <row r="1" spans="1:2" x14ac:dyDescent="0.25">
      <c r="A1">
        <v>7</v>
      </c>
      <c r="B1">
        <v>0</v>
      </c>
    </row>
    <row r="2" spans="1:2" x14ac:dyDescent="0.25">
      <c r="A2">
        <v>6</v>
      </c>
      <c r="B2">
        <v>0</v>
      </c>
    </row>
    <row r="3" spans="1:2" x14ac:dyDescent="0.25">
      <c r="A3">
        <v>5</v>
      </c>
      <c r="B3">
        <v>0.9</v>
      </c>
    </row>
    <row r="4" spans="1:2" x14ac:dyDescent="0.25">
      <c r="A4">
        <v>4</v>
      </c>
      <c r="B4">
        <v>1.9</v>
      </c>
    </row>
    <row r="5" spans="1:2" x14ac:dyDescent="0.25">
      <c r="A5">
        <v>3</v>
      </c>
      <c r="B5">
        <v>7.5</v>
      </c>
    </row>
    <row r="6" spans="1:2" x14ac:dyDescent="0.25">
      <c r="A6">
        <v>2</v>
      </c>
      <c r="B6">
        <v>29.9</v>
      </c>
    </row>
    <row r="7" spans="1:2" x14ac:dyDescent="0.25">
      <c r="A7">
        <v>1</v>
      </c>
      <c r="B7">
        <v>66.400000000000006</v>
      </c>
    </row>
    <row r="8" spans="1:2" x14ac:dyDescent="0.25">
      <c r="A8">
        <v>0</v>
      </c>
      <c r="B8">
        <v>86.9</v>
      </c>
    </row>
    <row r="9" spans="1:2" x14ac:dyDescent="0.25">
      <c r="A9">
        <v>-1</v>
      </c>
      <c r="B9">
        <v>100</v>
      </c>
    </row>
    <row r="10" spans="1:2" x14ac:dyDescent="0.25">
      <c r="A10">
        <v>-2</v>
      </c>
      <c r="B10">
        <v>100</v>
      </c>
    </row>
    <row r="11" spans="1:2" x14ac:dyDescent="0.25">
      <c r="A11">
        <v>-3</v>
      </c>
      <c r="B11">
        <v>100</v>
      </c>
    </row>
    <row r="12" spans="1:2" x14ac:dyDescent="0.25">
      <c r="A12">
        <v>-4</v>
      </c>
      <c r="B12">
        <v>100</v>
      </c>
    </row>
    <row r="14" spans="1:2" x14ac:dyDescent="0.25">
      <c r="A14">
        <v>7</v>
      </c>
      <c r="B14">
        <v>0</v>
      </c>
    </row>
    <row r="15" spans="1:2" x14ac:dyDescent="0.25">
      <c r="A15">
        <v>6</v>
      </c>
      <c r="B15">
        <v>0</v>
      </c>
    </row>
    <row r="16" spans="1:2" x14ac:dyDescent="0.25">
      <c r="A16">
        <v>5</v>
      </c>
      <c r="B16">
        <v>0.7</v>
      </c>
    </row>
    <row r="17" spans="1:2" x14ac:dyDescent="0.25">
      <c r="A17">
        <v>4</v>
      </c>
      <c r="B17">
        <v>1.5</v>
      </c>
    </row>
    <row r="18" spans="1:2" x14ac:dyDescent="0.25">
      <c r="A18">
        <v>3</v>
      </c>
      <c r="B18">
        <v>9.6</v>
      </c>
    </row>
    <row r="19" spans="1:2" x14ac:dyDescent="0.25">
      <c r="A19">
        <v>2</v>
      </c>
      <c r="B19">
        <v>39.299999999999997</v>
      </c>
    </row>
    <row r="20" spans="1:2" x14ac:dyDescent="0.25">
      <c r="A20">
        <v>1</v>
      </c>
      <c r="B20">
        <v>71.099999999999994</v>
      </c>
    </row>
    <row r="21" spans="1:2" x14ac:dyDescent="0.25">
      <c r="A21">
        <v>0</v>
      </c>
      <c r="B21">
        <v>90.4</v>
      </c>
    </row>
    <row r="22" spans="1:2" x14ac:dyDescent="0.25">
      <c r="A22">
        <v>-1</v>
      </c>
      <c r="B22">
        <v>99.3</v>
      </c>
    </row>
    <row r="23" spans="1:2" x14ac:dyDescent="0.25">
      <c r="A23">
        <v>-2</v>
      </c>
      <c r="B23">
        <v>100</v>
      </c>
    </row>
    <row r="24" spans="1:2" x14ac:dyDescent="0.25">
      <c r="A24">
        <v>-3</v>
      </c>
      <c r="B24">
        <v>100</v>
      </c>
    </row>
    <row r="25" spans="1:2" x14ac:dyDescent="0.25">
      <c r="A25">
        <v>-4</v>
      </c>
      <c r="B25">
        <v>100</v>
      </c>
    </row>
    <row r="27" spans="1:2" x14ac:dyDescent="0.25">
      <c r="A27">
        <v>7</v>
      </c>
      <c r="B27">
        <v>0</v>
      </c>
    </row>
    <row r="28" spans="1:2" x14ac:dyDescent="0.25">
      <c r="A28">
        <v>6</v>
      </c>
      <c r="B28">
        <v>0</v>
      </c>
    </row>
    <row r="29" spans="1:2" x14ac:dyDescent="0.25">
      <c r="A29">
        <v>5</v>
      </c>
      <c r="B29">
        <v>1.2</v>
      </c>
    </row>
    <row r="30" spans="1:2" x14ac:dyDescent="0.25">
      <c r="A30">
        <v>4</v>
      </c>
      <c r="B30">
        <v>3.5</v>
      </c>
    </row>
    <row r="31" spans="1:2" x14ac:dyDescent="0.25">
      <c r="A31">
        <v>3</v>
      </c>
      <c r="B31">
        <v>18.100000000000001</v>
      </c>
    </row>
    <row r="32" spans="1:2" x14ac:dyDescent="0.25">
      <c r="A32">
        <v>2</v>
      </c>
      <c r="B32">
        <v>37.4</v>
      </c>
    </row>
    <row r="33" spans="1:2" x14ac:dyDescent="0.25">
      <c r="A33">
        <v>1</v>
      </c>
      <c r="B33">
        <v>70.8</v>
      </c>
    </row>
    <row r="34" spans="1:2" x14ac:dyDescent="0.25">
      <c r="A34">
        <v>0</v>
      </c>
      <c r="B34">
        <v>92.8</v>
      </c>
    </row>
    <row r="35" spans="1:2" x14ac:dyDescent="0.25">
      <c r="A35">
        <v>-1</v>
      </c>
      <c r="B35">
        <v>99.4</v>
      </c>
    </row>
    <row r="36" spans="1:2" x14ac:dyDescent="0.25">
      <c r="A36">
        <v>-2</v>
      </c>
      <c r="B36">
        <v>100</v>
      </c>
    </row>
    <row r="37" spans="1:2" x14ac:dyDescent="0.25">
      <c r="A37">
        <v>-3</v>
      </c>
      <c r="B37">
        <v>100</v>
      </c>
    </row>
    <row r="38" spans="1:2" x14ac:dyDescent="0.25">
      <c r="A38">
        <v>-4</v>
      </c>
      <c r="B38">
        <v>100</v>
      </c>
    </row>
    <row r="40" spans="1:2" x14ac:dyDescent="0.25">
      <c r="A40">
        <v>7</v>
      </c>
      <c r="B40">
        <v>0</v>
      </c>
    </row>
    <row r="41" spans="1:2" x14ac:dyDescent="0.25">
      <c r="A41">
        <v>6</v>
      </c>
      <c r="B41">
        <v>0</v>
      </c>
    </row>
    <row r="42" spans="1:2" x14ac:dyDescent="0.25">
      <c r="A42">
        <v>5</v>
      </c>
      <c r="B42">
        <v>0</v>
      </c>
    </row>
    <row r="43" spans="1:2" x14ac:dyDescent="0.25">
      <c r="A43">
        <v>4</v>
      </c>
      <c r="B43">
        <v>2.6</v>
      </c>
    </row>
    <row r="44" spans="1:2" x14ac:dyDescent="0.25">
      <c r="A44">
        <v>3</v>
      </c>
      <c r="B44">
        <v>18.100000000000001</v>
      </c>
    </row>
    <row r="45" spans="1:2" x14ac:dyDescent="0.25">
      <c r="A45">
        <v>2</v>
      </c>
      <c r="B45">
        <v>49</v>
      </c>
    </row>
    <row r="46" spans="1:2" x14ac:dyDescent="0.25">
      <c r="A46">
        <v>1</v>
      </c>
      <c r="B46">
        <v>84.5</v>
      </c>
    </row>
    <row r="47" spans="1:2" x14ac:dyDescent="0.25">
      <c r="A47">
        <v>0</v>
      </c>
      <c r="B47">
        <v>96.1</v>
      </c>
    </row>
    <row r="48" spans="1:2" x14ac:dyDescent="0.25">
      <c r="A48">
        <v>-1</v>
      </c>
      <c r="B48">
        <v>99.4</v>
      </c>
    </row>
    <row r="49" spans="1:2" x14ac:dyDescent="0.25">
      <c r="A49">
        <v>-2</v>
      </c>
      <c r="B49">
        <v>100</v>
      </c>
    </row>
    <row r="50" spans="1:2" x14ac:dyDescent="0.25">
      <c r="A50">
        <v>-3</v>
      </c>
      <c r="B50">
        <v>100</v>
      </c>
    </row>
    <row r="51" spans="1:2" x14ac:dyDescent="0.25">
      <c r="A51">
        <v>-4</v>
      </c>
      <c r="B51">
        <v>100</v>
      </c>
    </row>
    <row r="53" spans="1:2" x14ac:dyDescent="0.25">
      <c r="A53">
        <v>7</v>
      </c>
      <c r="B53">
        <v>0</v>
      </c>
    </row>
    <row r="54" spans="1:2" x14ac:dyDescent="0.25">
      <c r="A54">
        <v>6</v>
      </c>
      <c r="B54">
        <v>0</v>
      </c>
    </row>
    <row r="55" spans="1:2" x14ac:dyDescent="0.25">
      <c r="A55">
        <v>5</v>
      </c>
      <c r="B55">
        <v>0</v>
      </c>
    </row>
    <row r="56" spans="1:2" x14ac:dyDescent="0.25">
      <c r="A56">
        <v>4</v>
      </c>
      <c r="B56">
        <v>4</v>
      </c>
    </row>
    <row r="57" spans="1:2" x14ac:dyDescent="0.25">
      <c r="A57">
        <v>3</v>
      </c>
      <c r="B57">
        <v>18.8</v>
      </c>
    </row>
    <row r="58" spans="1:2" x14ac:dyDescent="0.25">
      <c r="A58">
        <v>2</v>
      </c>
      <c r="B58">
        <v>50.5</v>
      </c>
    </row>
    <row r="59" spans="1:2" x14ac:dyDescent="0.25">
      <c r="A59">
        <v>1</v>
      </c>
      <c r="B59">
        <v>81.2</v>
      </c>
    </row>
    <row r="60" spans="1:2" x14ac:dyDescent="0.25">
      <c r="A60">
        <v>0</v>
      </c>
      <c r="B60">
        <v>98</v>
      </c>
    </row>
    <row r="61" spans="1:2" x14ac:dyDescent="0.25">
      <c r="A61">
        <v>-1</v>
      </c>
      <c r="B61">
        <v>100</v>
      </c>
    </row>
    <row r="62" spans="1:2" x14ac:dyDescent="0.25">
      <c r="A62">
        <v>-2</v>
      </c>
      <c r="B62">
        <v>100</v>
      </c>
    </row>
    <row r="63" spans="1:2" x14ac:dyDescent="0.25">
      <c r="A63">
        <v>-3</v>
      </c>
      <c r="B63">
        <v>100</v>
      </c>
    </row>
    <row r="64" spans="1:2" x14ac:dyDescent="0.25">
      <c r="A64">
        <v>-4</v>
      </c>
      <c r="B64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6901-9832-4D3C-A639-56024D85C400}">
  <dimension ref="A1:E74"/>
  <sheetViews>
    <sheetView workbookViewId="0">
      <selection activeCell="E67" sqref="E67"/>
    </sheetView>
  </sheetViews>
  <sheetFormatPr defaultColWidth="8.7109375" defaultRowHeight="15" x14ac:dyDescent="0.25"/>
  <sheetData>
    <row r="1" spans="1:5" x14ac:dyDescent="0.25">
      <c r="A1">
        <v>16</v>
      </c>
      <c r="B1">
        <v>1</v>
      </c>
      <c r="C1">
        <v>1</v>
      </c>
    </row>
    <row r="2" spans="1:5" x14ac:dyDescent="0.25">
      <c r="A2">
        <v>17</v>
      </c>
      <c r="B2">
        <v>1</v>
      </c>
      <c r="C2">
        <v>1</v>
      </c>
    </row>
    <row r="3" spans="1:5" x14ac:dyDescent="0.25">
      <c r="A3">
        <v>18</v>
      </c>
      <c r="B3">
        <v>2</v>
      </c>
      <c r="C3">
        <v>1</v>
      </c>
    </row>
    <row r="4" spans="1:5" x14ac:dyDescent="0.25">
      <c r="A4">
        <v>19</v>
      </c>
      <c r="B4">
        <v>2</v>
      </c>
      <c r="C4">
        <v>1</v>
      </c>
    </row>
    <row r="5" spans="1:5" x14ac:dyDescent="0.25">
      <c r="A5">
        <v>20</v>
      </c>
      <c r="B5">
        <v>3</v>
      </c>
      <c r="C5">
        <v>2</v>
      </c>
      <c r="E5" s="7"/>
    </row>
    <row r="6" spans="1:5" x14ac:dyDescent="0.25">
      <c r="A6">
        <v>21</v>
      </c>
      <c r="B6">
        <v>3</v>
      </c>
      <c r="C6">
        <v>2</v>
      </c>
    </row>
    <row r="7" spans="1:5" x14ac:dyDescent="0.25">
      <c r="A7">
        <v>22</v>
      </c>
      <c r="B7">
        <v>3</v>
      </c>
      <c r="C7">
        <v>2</v>
      </c>
    </row>
    <row r="8" spans="1:5" x14ac:dyDescent="0.25">
      <c r="A8">
        <v>23</v>
      </c>
      <c r="B8">
        <v>3</v>
      </c>
      <c r="C8">
        <v>2</v>
      </c>
    </row>
    <row r="9" spans="1:5" x14ac:dyDescent="0.25">
      <c r="A9">
        <v>24</v>
      </c>
      <c r="B9">
        <v>3</v>
      </c>
      <c r="C9">
        <v>2</v>
      </c>
    </row>
    <row r="10" spans="1:5" x14ac:dyDescent="0.25">
      <c r="A10">
        <v>25</v>
      </c>
      <c r="B10">
        <v>4</v>
      </c>
      <c r="C10">
        <v>2</v>
      </c>
    </row>
    <row r="11" spans="1:5" x14ac:dyDescent="0.25">
      <c r="A11">
        <v>26</v>
      </c>
      <c r="B11">
        <v>4</v>
      </c>
      <c r="C11">
        <v>2</v>
      </c>
    </row>
    <row r="12" spans="1:5" x14ac:dyDescent="0.25">
      <c r="A12">
        <v>27</v>
      </c>
      <c r="B12">
        <v>4</v>
      </c>
      <c r="C12">
        <v>2</v>
      </c>
    </row>
    <row r="13" spans="1:5" x14ac:dyDescent="0.25">
      <c r="A13">
        <v>28</v>
      </c>
      <c r="B13">
        <v>4</v>
      </c>
      <c r="C13">
        <v>2</v>
      </c>
    </row>
    <row r="14" spans="1:5" x14ac:dyDescent="0.25">
      <c r="A14">
        <v>29</v>
      </c>
      <c r="B14">
        <v>4</v>
      </c>
      <c r="C14">
        <v>2</v>
      </c>
    </row>
    <row r="15" spans="1:5" x14ac:dyDescent="0.25">
      <c r="A15">
        <v>30</v>
      </c>
      <c r="B15">
        <v>5</v>
      </c>
      <c r="C15">
        <v>3</v>
      </c>
    </row>
    <row r="16" spans="1:5" x14ac:dyDescent="0.25">
      <c r="A16">
        <v>31</v>
      </c>
      <c r="B16">
        <v>5</v>
      </c>
      <c r="C16">
        <v>3</v>
      </c>
    </row>
    <row r="17" spans="1:3" x14ac:dyDescent="0.25">
      <c r="A17">
        <v>32</v>
      </c>
      <c r="B17">
        <v>5</v>
      </c>
      <c r="C17">
        <v>3</v>
      </c>
    </row>
    <row r="18" spans="1:3" x14ac:dyDescent="0.25">
      <c r="A18">
        <v>33</v>
      </c>
      <c r="B18">
        <v>5</v>
      </c>
      <c r="C18">
        <v>3</v>
      </c>
    </row>
    <row r="19" spans="1:3" x14ac:dyDescent="0.25">
      <c r="A19">
        <v>34</v>
      </c>
      <c r="B19">
        <v>5</v>
      </c>
      <c r="C19">
        <v>3</v>
      </c>
    </row>
    <row r="20" spans="1:3" x14ac:dyDescent="0.25">
      <c r="A20">
        <v>35</v>
      </c>
      <c r="B20">
        <v>6</v>
      </c>
      <c r="C20">
        <v>3</v>
      </c>
    </row>
    <row r="21" spans="1:3" x14ac:dyDescent="0.25">
      <c r="A21">
        <v>36</v>
      </c>
      <c r="B21">
        <v>6</v>
      </c>
      <c r="C21">
        <v>3</v>
      </c>
    </row>
    <row r="22" spans="1:3" x14ac:dyDescent="0.25">
      <c r="A22">
        <v>37</v>
      </c>
      <c r="B22">
        <v>6</v>
      </c>
      <c r="C22">
        <v>3</v>
      </c>
    </row>
    <row r="23" spans="1:3" x14ac:dyDescent="0.25">
      <c r="A23">
        <v>38</v>
      </c>
      <c r="B23">
        <v>6</v>
      </c>
      <c r="C23">
        <v>3</v>
      </c>
    </row>
    <row r="24" spans="1:3" x14ac:dyDescent="0.25">
      <c r="A24">
        <v>39</v>
      </c>
      <c r="B24">
        <v>6</v>
      </c>
      <c r="C24">
        <v>3</v>
      </c>
    </row>
    <row r="25" spans="1:3" x14ac:dyDescent="0.25">
      <c r="A25">
        <v>40</v>
      </c>
      <c r="B25">
        <v>6</v>
      </c>
      <c r="C25">
        <v>3</v>
      </c>
    </row>
    <row r="26" spans="1:3" x14ac:dyDescent="0.25">
      <c r="A26">
        <v>41</v>
      </c>
      <c r="B26">
        <v>6</v>
      </c>
      <c r="C26">
        <v>3</v>
      </c>
    </row>
    <row r="27" spans="1:3" x14ac:dyDescent="0.25">
      <c r="A27">
        <v>42</v>
      </c>
      <c r="B27">
        <v>6</v>
      </c>
      <c r="C27">
        <v>3</v>
      </c>
    </row>
    <row r="28" spans="1:3" x14ac:dyDescent="0.25">
      <c r="A28">
        <v>43</v>
      </c>
      <c r="B28">
        <v>6</v>
      </c>
      <c r="C28">
        <v>3</v>
      </c>
    </row>
    <row r="29" spans="1:3" x14ac:dyDescent="0.25">
      <c r="A29">
        <v>44</v>
      </c>
      <c r="B29">
        <v>6</v>
      </c>
      <c r="C29">
        <v>3</v>
      </c>
    </row>
    <row r="30" spans="1:3" x14ac:dyDescent="0.25">
      <c r="A30">
        <v>45</v>
      </c>
      <c r="B30">
        <v>7</v>
      </c>
      <c r="C30">
        <v>4</v>
      </c>
    </row>
    <row r="31" spans="1:3" x14ac:dyDescent="0.25">
      <c r="A31">
        <v>46</v>
      </c>
      <c r="B31">
        <v>7</v>
      </c>
      <c r="C31">
        <v>4</v>
      </c>
    </row>
    <row r="32" spans="1:3" x14ac:dyDescent="0.25">
      <c r="A32">
        <v>47</v>
      </c>
      <c r="B32">
        <v>7</v>
      </c>
      <c r="C32">
        <v>4</v>
      </c>
    </row>
    <row r="33" spans="1:3" x14ac:dyDescent="0.25">
      <c r="A33">
        <v>48</v>
      </c>
      <c r="B33">
        <v>7</v>
      </c>
      <c r="C33">
        <v>4</v>
      </c>
    </row>
    <row r="34" spans="1:3" x14ac:dyDescent="0.25">
      <c r="A34">
        <v>49</v>
      </c>
      <c r="B34">
        <v>7</v>
      </c>
      <c r="C34">
        <v>4</v>
      </c>
    </row>
    <row r="35" spans="1:3" x14ac:dyDescent="0.25">
      <c r="A35">
        <v>50</v>
      </c>
      <c r="B35">
        <v>7</v>
      </c>
      <c r="C35">
        <v>4</v>
      </c>
    </row>
    <row r="36" spans="1:3" x14ac:dyDescent="0.25">
      <c r="A36">
        <v>51</v>
      </c>
      <c r="B36">
        <v>7</v>
      </c>
      <c r="C36">
        <v>4</v>
      </c>
    </row>
    <row r="37" spans="1:3" x14ac:dyDescent="0.25">
      <c r="A37">
        <v>52</v>
      </c>
      <c r="B37">
        <v>7</v>
      </c>
      <c r="C37">
        <v>4</v>
      </c>
    </row>
    <row r="38" spans="1:3" x14ac:dyDescent="0.25">
      <c r="A38">
        <v>53</v>
      </c>
      <c r="B38">
        <v>7</v>
      </c>
      <c r="C38">
        <v>4</v>
      </c>
    </row>
    <row r="39" spans="1:3" x14ac:dyDescent="0.25">
      <c r="A39">
        <v>54</v>
      </c>
      <c r="B39">
        <v>7</v>
      </c>
      <c r="C39">
        <v>4</v>
      </c>
    </row>
    <row r="40" spans="1:3" x14ac:dyDescent="0.25">
      <c r="A40">
        <v>55</v>
      </c>
      <c r="B40">
        <v>8</v>
      </c>
      <c r="C40">
        <v>4</v>
      </c>
    </row>
    <row r="41" spans="1:3" x14ac:dyDescent="0.25">
      <c r="A41">
        <v>56</v>
      </c>
      <c r="B41">
        <v>8</v>
      </c>
      <c r="C41">
        <v>4</v>
      </c>
    </row>
    <row r="42" spans="1:3" x14ac:dyDescent="0.25">
      <c r="A42">
        <v>57</v>
      </c>
      <c r="B42">
        <v>8</v>
      </c>
      <c r="C42">
        <v>4</v>
      </c>
    </row>
    <row r="43" spans="1:3" x14ac:dyDescent="0.25">
      <c r="A43">
        <v>58</v>
      </c>
      <c r="B43">
        <v>8</v>
      </c>
      <c r="C43">
        <v>4</v>
      </c>
    </row>
    <row r="44" spans="1:3" x14ac:dyDescent="0.25">
      <c r="A44">
        <v>59</v>
      </c>
      <c r="B44">
        <v>8</v>
      </c>
      <c r="C44">
        <v>4</v>
      </c>
    </row>
    <row r="45" spans="1:3" x14ac:dyDescent="0.25">
      <c r="A45">
        <v>60</v>
      </c>
      <c r="B45">
        <v>8</v>
      </c>
      <c r="C45">
        <v>4</v>
      </c>
    </row>
    <row r="46" spans="1:3" x14ac:dyDescent="0.25">
      <c r="A46">
        <v>61</v>
      </c>
      <c r="B46">
        <v>8</v>
      </c>
      <c r="C46">
        <v>4</v>
      </c>
    </row>
    <row r="47" spans="1:3" x14ac:dyDescent="0.25">
      <c r="A47">
        <v>62</v>
      </c>
      <c r="B47">
        <v>8</v>
      </c>
      <c r="C47">
        <v>4</v>
      </c>
    </row>
    <row r="48" spans="1:3" x14ac:dyDescent="0.25">
      <c r="A48">
        <v>63</v>
      </c>
      <c r="B48">
        <v>8</v>
      </c>
      <c r="C48">
        <v>4</v>
      </c>
    </row>
    <row r="49" spans="1:3" x14ac:dyDescent="0.25">
      <c r="A49">
        <v>64</v>
      </c>
      <c r="B49">
        <v>8</v>
      </c>
      <c r="C49">
        <v>4</v>
      </c>
    </row>
    <row r="50" spans="1:3" x14ac:dyDescent="0.25">
      <c r="A50">
        <v>65</v>
      </c>
      <c r="B50">
        <v>9</v>
      </c>
      <c r="C50">
        <v>5</v>
      </c>
    </row>
    <row r="51" spans="1:3" x14ac:dyDescent="0.25">
      <c r="A51">
        <v>66</v>
      </c>
      <c r="B51">
        <v>9</v>
      </c>
      <c r="C51">
        <v>5</v>
      </c>
    </row>
    <row r="52" spans="1:3" x14ac:dyDescent="0.25">
      <c r="A52">
        <v>67</v>
      </c>
      <c r="B52">
        <v>9</v>
      </c>
      <c r="C52">
        <v>5</v>
      </c>
    </row>
    <row r="53" spans="1:3" x14ac:dyDescent="0.25">
      <c r="A53">
        <v>68</v>
      </c>
      <c r="B53">
        <v>9</v>
      </c>
      <c r="C53">
        <v>5</v>
      </c>
    </row>
    <row r="54" spans="1:3" x14ac:dyDescent="0.25">
      <c r="A54">
        <v>69</v>
      </c>
      <c r="B54">
        <v>9</v>
      </c>
      <c r="C54">
        <v>5</v>
      </c>
    </row>
    <row r="55" spans="1:3" x14ac:dyDescent="0.25">
      <c r="A55">
        <v>70</v>
      </c>
      <c r="B55">
        <v>10</v>
      </c>
      <c r="C55">
        <v>5</v>
      </c>
    </row>
    <row r="56" spans="1:3" x14ac:dyDescent="0.25">
      <c r="A56">
        <v>71</v>
      </c>
      <c r="B56">
        <v>10</v>
      </c>
      <c r="C56">
        <v>5</v>
      </c>
    </row>
    <row r="57" spans="1:3" x14ac:dyDescent="0.25">
      <c r="A57">
        <v>72</v>
      </c>
      <c r="B57">
        <v>10</v>
      </c>
      <c r="C57">
        <v>5</v>
      </c>
    </row>
    <row r="58" spans="1:3" x14ac:dyDescent="0.25">
      <c r="A58">
        <v>73</v>
      </c>
      <c r="B58">
        <v>10</v>
      </c>
      <c r="C58">
        <v>5</v>
      </c>
    </row>
    <row r="59" spans="1:3" x14ac:dyDescent="0.25">
      <c r="A59">
        <v>74</v>
      </c>
      <c r="B59">
        <v>10</v>
      </c>
      <c r="C59">
        <v>5</v>
      </c>
    </row>
    <row r="60" spans="1:3" x14ac:dyDescent="0.25">
      <c r="A60">
        <v>75</v>
      </c>
      <c r="B60">
        <v>10</v>
      </c>
      <c r="C60">
        <v>5</v>
      </c>
    </row>
    <row r="61" spans="1:3" x14ac:dyDescent="0.25">
      <c r="A61">
        <v>76</v>
      </c>
      <c r="B61">
        <v>10</v>
      </c>
      <c r="C61">
        <v>5</v>
      </c>
    </row>
    <row r="62" spans="1:3" x14ac:dyDescent="0.25">
      <c r="A62">
        <v>77</v>
      </c>
      <c r="B62">
        <v>10</v>
      </c>
      <c r="C62">
        <v>5</v>
      </c>
    </row>
    <row r="63" spans="1:3" x14ac:dyDescent="0.25">
      <c r="A63">
        <v>78</v>
      </c>
      <c r="B63">
        <v>10</v>
      </c>
      <c r="C63">
        <v>5</v>
      </c>
    </row>
    <row r="64" spans="1:3" x14ac:dyDescent="0.25">
      <c r="A64">
        <v>79</v>
      </c>
      <c r="B64">
        <v>10</v>
      </c>
      <c r="C64">
        <v>5</v>
      </c>
    </row>
    <row r="65" spans="1:3" x14ac:dyDescent="0.25">
      <c r="A65">
        <v>80</v>
      </c>
      <c r="B65">
        <v>11</v>
      </c>
      <c r="C65">
        <v>5</v>
      </c>
    </row>
    <row r="66" spans="1:3" x14ac:dyDescent="0.25">
      <c r="A66">
        <v>81</v>
      </c>
      <c r="B66">
        <v>11</v>
      </c>
      <c r="C66">
        <v>5</v>
      </c>
    </row>
    <row r="67" spans="1:3" x14ac:dyDescent="0.25">
      <c r="A67">
        <v>82</v>
      </c>
      <c r="B67">
        <v>11</v>
      </c>
      <c r="C67">
        <v>5</v>
      </c>
    </row>
    <row r="68" spans="1:3" x14ac:dyDescent="0.25">
      <c r="A68">
        <v>83</v>
      </c>
      <c r="B68">
        <v>11</v>
      </c>
      <c r="C68">
        <v>5</v>
      </c>
    </row>
    <row r="69" spans="1:3" x14ac:dyDescent="0.25">
      <c r="A69">
        <v>84</v>
      </c>
      <c r="B69">
        <v>11</v>
      </c>
      <c r="C69">
        <v>5</v>
      </c>
    </row>
    <row r="70" spans="1:3" x14ac:dyDescent="0.25">
      <c r="A70">
        <v>85</v>
      </c>
      <c r="B70">
        <v>11</v>
      </c>
      <c r="C70">
        <v>5</v>
      </c>
    </row>
    <row r="71" spans="1:3" x14ac:dyDescent="0.25">
      <c r="A71">
        <v>86</v>
      </c>
      <c r="B71">
        <v>11</v>
      </c>
      <c r="C71">
        <v>5</v>
      </c>
    </row>
    <row r="72" spans="1:3" x14ac:dyDescent="0.25">
      <c r="A72">
        <v>87</v>
      </c>
      <c r="B72">
        <v>11</v>
      </c>
      <c r="C72">
        <v>5</v>
      </c>
    </row>
    <row r="73" spans="1:3" x14ac:dyDescent="0.25">
      <c r="A73">
        <v>88</v>
      </c>
      <c r="B73">
        <v>11</v>
      </c>
      <c r="C73">
        <v>5</v>
      </c>
    </row>
    <row r="74" spans="1:3" x14ac:dyDescent="0.25">
      <c r="A74">
        <v>89</v>
      </c>
      <c r="B74">
        <v>11</v>
      </c>
      <c r="C7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a1</vt:lpstr>
      <vt:lpstr>a2</vt:lpstr>
      <vt:lpstr>a3</vt:lpstr>
      <vt:lpstr>a4</vt:lpstr>
      <vt:lpstr>a5</vt:lpstr>
      <vt:lpstr>a6</vt:lpstr>
      <vt:lpstr>a7</vt:lpstr>
      <vt:lpstr>a8</vt:lpstr>
      <vt:lpstr>a10</vt:lpstr>
      <vt:lpstr>b1</vt:lpstr>
      <vt:lpstr>b2</vt:lpstr>
      <vt:lpstr>b3</vt:lpstr>
      <vt:lpstr>b6</vt:lpstr>
      <vt:lpstr>b7</vt:lpstr>
      <vt:lpstr>vanusegrupp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Leis</cp:lastModifiedBy>
  <dcterms:created xsi:type="dcterms:W3CDTF">2024-11-05T18:07:18Z</dcterms:created>
  <dcterms:modified xsi:type="dcterms:W3CDTF">2026-10-18T21:16:24Z</dcterms:modified>
</cp:coreProperties>
</file>